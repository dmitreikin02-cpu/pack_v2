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M:\Kuz WH\2_Клиенты\37_R-Mixed\6_Отчеты и KPI\02_PS+аналитика\Аналитика\Упаковка\"/>
    </mc:Choice>
  </mc:AlternateContent>
  <xr:revisionPtr revIDLastSave="0" documentId="13_ncr:1_{4DF06CD5-C287-4304-96CF-0E7481661A5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Расход" sheetId="3" r:id="rId1"/>
    <sheet name="Запасы" sheetId="1" r:id="rId2"/>
    <sheet name="Min" sheetId="2" r:id="rId3"/>
    <sheet name="Методы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3" i="1"/>
  <c r="J4" i="1"/>
  <c r="J5" i="1"/>
  <c r="J6" i="1"/>
  <c r="J7" i="1"/>
  <c r="J8" i="1"/>
  <c r="J9" i="1"/>
  <c r="J10" i="1"/>
  <c r="J11" i="1"/>
  <c r="J12" i="1"/>
  <c r="J13" i="1"/>
  <c r="J14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3" i="1"/>
  <c r="D4" i="1"/>
  <c r="D5" i="1"/>
  <c r="D6" i="1"/>
  <c r="D7" i="1"/>
  <c r="D8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3" i="1"/>
  <c r="C4" i="1"/>
  <c r="C5" i="1"/>
</calcChain>
</file>

<file path=xl/sharedStrings.xml><?xml version="1.0" encoding="utf-8"?>
<sst xmlns="http://schemas.openxmlformats.org/spreadsheetml/2006/main" count="360" uniqueCount="15">
  <si>
    <t>MEDIUM 600х400х400
R-mixed</t>
  </si>
  <si>
    <t>MEDIUM 400х300х300
R-mixed</t>
  </si>
  <si>
    <t>MEDIUM 400х300х150</t>
  </si>
  <si>
    <t>CW</t>
  </si>
  <si>
    <t>Month</t>
  </si>
  <si>
    <t>Минимальный запас</t>
  </si>
  <si>
    <t>Материал</t>
  </si>
  <si>
    <t>Минимальная партия закупки</t>
  </si>
  <si>
    <t>MEDIUM 800х600х300</t>
  </si>
  <si>
    <t>MEDIUM 300*210*100               R-mixed</t>
  </si>
  <si>
    <t>Скотч R-mixed</t>
  </si>
  <si>
    <t>Скотч цветной</t>
  </si>
  <si>
    <t xml:space="preserve">Стрейч прозрачный </t>
  </si>
  <si>
    <t>-</t>
  </si>
  <si>
    <t xml:space="preserve">Простое среднее (SMA)
Берём последние 8 недель, складываем расход и делим на 8.
«Мы тратили в среднем по 1000 коробок в неделю — значит, и дальше будем тратить примерно столько же».
Экспоненциальное среднее (EMA)
То же среднее, но последние недели считаются важнее и «перевешивают» старые.
Если расход начал расти — прогноз быстро это заметит.
Взвешенное среднее (WMA)
Похоже на EMA, но веса растут плавно: самая свежая неделя — самая важная.
Тренд (линейная регрессия)
Программа рисует прямую линию по последним неделям и продолжает её дальше.
Хорошо работает, если расход стабильно растёт или падает каждый месяц.
Гибридный — самый умный (по умолчанию стоит он)
Программа берёт сразу все 4 способа выше, смешивает их в один «прогноз» (EMA считает самым важным),
потом ещё прибавляет 20% про запас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</si>
</sst>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rgb="FF002B55"/>
      <name val="Arial"/>
      <family val="2"/>
      <charset val="204"/>
    </font>
    <font>
      <sz val="11"/>
      <color rgb="FF002B5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164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164" fontId="3" fillId="0" borderId="2" xfId="1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" fontId="4" fillId="2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Fill="1" applyBorder="1" applyAlignment="1">
      <alignment vertical="center" wrapText="1"/>
    </xf>
    <xf numFmtId="164" fontId="3" fillId="0" borderId="8" xfId="1" applyNumberFormat="1" applyFont="1" applyBorder="1" applyAlignment="1">
      <alignment horizontal="left" vertical="center" wrapText="1"/>
    </xf>
    <xf numFmtId="1" fontId="4" fillId="2" borderId="9" xfId="0" applyNumberFormat="1" applyFont="1" applyFill="1" applyBorder="1" applyAlignment="1" applyProtection="1">
      <alignment horizontal="center" vertical="center"/>
      <protection locked="0"/>
    </xf>
    <xf numFmtId="164" fontId="3" fillId="3" borderId="3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 applyProtection="1">
      <alignment horizontal="center" vertical="center"/>
      <protection locked="0"/>
    </xf>
    <xf numFmtId="3" fontId="4" fillId="3" borderId="4" xfId="0" applyNumberFormat="1" applyFont="1" applyFill="1" applyBorder="1" applyAlignment="1" applyProtection="1">
      <alignment horizontal="center" vertical="center"/>
      <protection locked="0"/>
    </xf>
    <xf numFmtId="3" fontId="4" fillId="3" borderId="6" xfId="0" applyNumberFormat="1" applyFont="1" applyFill="1" applyBorder="1" applyAlignment="1" applyProtection="1">
      <alignment horizontal="center" vertical="center"/>
      <protection locked="0"/>
    </xf>
    <xf numFmtId="3" fontId="4" fillId="3" borderId="7" xfId="0" applyNumberFormat="1" applyFont="1" applyFill="1" applyBorder="1" applyAlignment="1" applyProtection="1">
      <alignment horizontal="center" vertical="center"/>
      <protection locked="0"/>
    </xf>
    <xf numFmtId="164" fontId="3" fillId="4" borderId="3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  <protection locked="0"/>
    </xf>
    <xf numFmtId="3" fontId="4" fillId="4" borderId="4" xfId="0" applyNumberFormat="1" applyFont="1" applyFill="1" applyBorder="1" applyAlignment="1" applyProtection="1">
      <alignment horizontal="center" vertical="center"/>
      <protection locked="0"/>
    </xf>
    <xf numFmtId="3" fontId="4" fillId="4" borderId="6" xfId="0" applyNumberFormat="1" applyFont="1" applyFill="1" applyBorder="1" applyAlignment="1" applyProtection="1">
      <alignment horizontal="center" vertical="center"/>
      <protection locked="0"/>
    </xf>
    <xf numFmtId="3" fontId="4" fillId="4" borderId="7" xfId="0" applyNumberFormat="1" applyFont="1" applyFill="1" applyBorder="1" applyAlignment="1" applyProtection="1">
      <alignment horizontal="center" vertical="center"/>
      <protection locked="0"/>
    </xf>
    <xf numFmtId="1" fontId="4" fillId="5" borderId="4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</cellXfs>
  <cellStyles count="3">
    <cellStyle name="Обычный" xfId="0" builtinId="0"/>
    <cellStyle name="Обычный 2" xfId="2" xr:uid="{2E7C69FD-FF5A-46DA-A99A-FE86D70023C7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uz%20WH/2_&#1050;&#1083;&#1080;&#1077;&#1085;&#1090;&#1099;/37_R-Mixed/6_&#1054;&#1090;&#1095;&#1077;&#1090;&#1099;%20&#1080;%20KPI/&#1059;&#1095;&#1077;&#1090;%20&#1088;&#1072;&#1089;&#1093;&#1086;&#1076;&#1085;&#1099;&#1093;%20&#1084;&#1072;&#1090;&#1077;&#1088;&#1080;&#1072;&#1083;&#1086;&#1074;/&#1059;&#1095;&#1077;&#1090;%20&#1088;&#1072;&#1089;&#1093;&#1086;&#1076;&#1085;&#1099;&#1093;%20&#1084;&#1072;&#1090;&#1077;&#1088;&#1080;&#1072;&#1083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клад"/>
      <sheetName val="Маркетплейсы"/>
    </sheetNames>
    <sheetDataSet>
      <sheetData sheetId="0">
        <row r="13">
          <cell r="F13" t="str">
            <v>MEDIUM 800х600х300</v>
          </cell>
          <cell r="G13" t="str">
            <v>MEDIUM 600х400х400
R-mixed</v>
          </cell>
          <cell r="H13" t="str">
            <v>MEDIUM 400х300х300
R-mixed</v>
          </cell>
          <cell r="I13" t="str">
            <v>MEDIUM 400х300х150</v>
          </cell>
          <cell r="J13" t="str">
            <v>MEDIUM 300*210*100               R-mixed</v>
          </cell>
          <cell r="K13" t="str">
            <v>Скотч R-mixed</v>
          </cell>
          <cell r="L13" t="str">
            <v>Скотч цветной</v>
          </cell>
          <cell r="O13" t="str">
            <v xml:space="preserve">Стрейч прозрачный </v>
          </cell>
        </row>
        <row r="14">
          <cell r="B14">
            <v>52</v>
          </cell>
          <cell r="E14" t="str">
            <v>Остаток на начало недели</v>
          </cell>
          <cell r="F14">
            <v>5250</v>
          </cell>
          <cell r="G14">
            <v>37832</v>
          </cell>
          <cell r="H14">
            <v>35840</v>
          </cell>
          <cell r="I14">
            <v>49664</v>
          </cell>
          <cell r="K14">
            <v>25296</v>
          </cell>
          <cell r="L14">
            <v>3636</v>
          </cell>
          <cell r="O14">
            <v>2484</v>
          </cell>
        </row>
        <row r="15">
          <cell r="B15">
            <v>52</v>
          </cell>
          <cell r="E15" t="str">
            <v>Расход на складе</v>
          </cell>
        </row>
        <row r="16">
          <cell r="B16">
            <v>52</v>
          </cell>
          <cell r="E16" t="str">
            <v xml:space="preserve">Отгрузка в магазин </v>
          </cell>
        </row>
        <row r="17">
          <cell r="B17">
            <v>52</v>
          </cell>
          <cell r="E17" t="str">
            <v>Приход в течение недели</v>
          </cell>
        </row>
        <row r="18">
          <cell r="B18">
            <v>52</v>
          </cell>
          <cell r="E18" t="str">
            <v>Итог на конец недели</v>
          </cell>
        </row>
        <row r="19">
          <cell r="B19">
            <v>2</v>
          </cell>
          <cell r="E19" t="str">
            <v>Остаток на начало недели</v>
          </cell>
          <cell r="F19">
            <v>5250</v>
          </cell>
          <cell r="K19">
            <v>45480</v>
          </cell>
        </row>
        <row r="20">
          <cell r="B20">
            <v>2</v>
          </cell>
          <cell r="E20" t="str">
            <v>Расход на складе</v>
          </cell>
          <cell r="G20">
            <v>7936</v>
          </cell>
          <cell r="H20">
            <v>6144</v>
          </cell>
          <cell r="I20">
            <v>5632</v>
          </cell>
          <cell r="K20">
            <v>3480</v>
          </cell>
          <cell r="L20">
            <v>0</v>
          </cell>
          <cell r="O20">
            <v>216</v>
          </cell>
        </row>
        <row r="21">
          <cell r="B21">
            <v>2</v>
          </cell>
          <cell r="E21" t="str">
            <v xml:space="preserve">Отгрузка в магазин </v>
          </cell>
        </row>
        <row r="22">
          <cell r="B22">
            <v>2</v>
          </cell>
          <cell r="E22" t="str">
            <v>Приход в течение недели</v>
          </cell>
        </row>
        <row r="23">
          <cell r="B23">
            <v>2</v>
          </cell>
          <cell r="E23" t="str">
            <v>Итог на конец недели</v>
          </cell>
          <cell r="G23">
            <v>29896</v>
          </cell>
          <cell r="H23">
            <v>29696</v>
          </cell>
          <cell r="I23">
            <v>44032</v>
          </cell>
          <cell r="K23">
            <v>42000</v>
          </cell>
          <cell r="L23">
            <v>3636</v>
          </cell>
          <cell r="O23">
            <v>2268</v>
          </cell>
        </row>
        <row r="24">
          <cell r="B24">
            <v>3</v>
          </cell>
          <cell r="E24" t="str">
            <v>Остаток на начало недели</v>
          </cell>
          <cell r="F24">
            <v>5250</v>
          </cell>
          <cell r="G24">
            <v>29896</v>
          </cell>
          <cell r="H24">
            <v>29696</v>
          </cell>
          <cell r="I24">
            <v>44032</v>
          </cell>
          <cell r="K24">
            <v>42000</v>
          </cell>
          <cell r="L24">
            <v>3636</v>
          </cell>
          <cell r="O24">
            <v>2268</v>
          </cell>
        </row>
        <row r="25">
          <cell r="B25">
            <v>3</v>
          </cell>
          <cell r="E25" t="str">
            <v>Расход на складе</v>
          </cell>
          <cell r="F25">
            <v>0</v>
          </cell>
          <cell r="G25">
            <v>2238</v>
          </cell>
          <cell r="H25">
            <v>1536</v>
          </cell>
          <cell r="I25">
            <v>3584</v>
          </cell>
          <cell r="K25">
            <v>1010</v>
          </cell>
          <cell r="L25">
            <v>0</v>
          </cell>
          <cell r="O25">
            <v>32</v>
          </cell>
        </row>
        <row r="26">
          <cell r="B26">
            <v>3</v>
          </cell>
          <cell r="E26" t="str">
            <v xml:space="preserve">Отгрузка в магазин </v>
          </cell>
        </row>
        <row r="27">
          <cell r="B27">
            <v>3</v>
          </cell>
          <cell r="E27" t="str">
            <v>Приход в течение недели</v>
          </cell>
        </row>
        <row r="28">
          <cell r="B28">
            <v>3</v>
          </cell>
          <cell r="E28" t="str">
            <v>Итог на конец недели</v>
          </cell>
          <cell r="F28">
            <v>5250</v>
          </cell>
          <cell r="G28">
            <v>27658</v>
          </cell>
          <cell r="H28">
            <v>28160</v>
          </cell>
          <cell r="I28">
            <v>40448</v>
          </cell>
          <cell r="K28">
            <v>40990</v>
          </cell>
          <cell r="L28">
            <v>3636</v>
          </cell>
          <cell r="O28">
            <v>2236</v>
          </cell>
        </row>
        <row r="29">
          <cell r="B29">
            <v>4</v>
          </cell>
          <cell r="E29" t="str">
            <v>Остаток на начало недели</v>
          </cell>
          <cell r="F29">
            <v>5250</v>
          </cell>
          <cell r="G29">
            <v>27658</v>
          </cell>
          <cell r="H29">
            <v>28160</v>
          </cell>
          <cell r="I29">
            <v>40448</v>
          </cell>
          <cell r="K29">
            <v>40990</v>
          </cell>
          <cell r="L29">
            <v>3636</v>
          </cell>
          <cell r="O29">
            <v>2236</v>
          </cell>
        </row>
        <row r="30">
          <cell r="B30">
            <v>4</v>
          </cell>
          <cell r="E30" t="str">
            <v>Расход на складе</v>
          </cell>
          <cell r="F30">
            <v>90</v>
          </cell>
          <cell r="G30">
            <v>3328</v>
          </cell>
          <cell r="H30">
            <v>512</v>
          </cell>
          <cell r="I30">
            <v>1024</v>
          </cell>
          <cell r="K30">
            <v>744</v>
          </cell>
          <cell r="L30">
            <v>0</v>
          </cell>
          <cell r="O30">
            <v>12</v>
          </cell>
        </row>
        <row r="31">
          <cell r="B31">
            <v>4</v>
          </cell>
          <cell r="E31" t="str">
            <v xml:space="preserve">Отгрузка в магазин </v>
          </cell>
        </row>
        <row r="32">
          <cell r="B32">
            <v>4</v>
          </cell>
          <cell r="E32" t="str">
            <v>Приход в течение недели</v>
          </cell>
        </row>
        <row r="33">
          <cell r="B33">
            <v>4</v>
          </cell>
          <cell r="E33" t="str">
            <v>Итог на конец недели</v>
          </cell>
          <cell r="F33">
            <v>5160</v>
          </cell>
          <cell r="G33">
            <v>24330</v>
          </cell>
          <cell r="H33">
            <v>27648</v>
          </cell>
          <cell r="I33">
            <v>39424</v>
          </cell>
          <cell r="K33">
            <v>40246</v>
          </cell>
          <cell r="L33">
            <v>3636</v>
          </cell>
          <cell r="O33">
            <v>2224</v>
          </cell>
        </row>
        <row r="34">
          <cell r="B34">
            <v>5</v>
          </cell>
          <cell r="E34" t="str">
            <v>Остаток на начало недели</v>
          </cell>
          <cell r="F34">
            <v>5160</v>
          </cell>
          <cell r="G34">
            <v>24330</v>
          </cell>
          <cell r="H34">
            <v>27648</v>
          </cell>
          <cell r="I34">
            <v>39424</v>
          </cell>
          <cell r="K34">
            <v>40246</v>
          </cell>
          <cell r="L34">
            <v>3636</v>
          </cell>
          <cell r="O34">
            <v>2224</v>
          </cell>
        </row>
        <row r="35">
          <cell r="B35">
            <v>5</v>
          </cell>
          <cell r="E35" t="str">
            <v>Расход на складе</v>
          </cell>
          <cell r="F35">
            <v>0</v>
          </cell>
          <cell r="G35">
            <v>4864</v>
          </cell>
          <cell r="H35">
            <v>2560</v>
          </cell>
          <cell r="I35">
            <v>1536</v>
          </cell>
          <cell r="K35">
            <v>912</v>
          </cell>
          <cell r="L35">
            <v>0</v>
          </cell>
          <cell r="O35">
            <v>108</v>
          </cell>
        </row>
        <row r="36">
          <cell r="B36">
            <v>5</v>
          </cell>
          <cell r="E36" t="str">
            <v xml:space="preserve">Отгрузка в магазин </v>
          </cell>
        </row>
        <row r="37">
          <cell r="B37">
            <v>5</v>
          </cell>
          <cell r="E37" t="str">
            <v>Приход в течение недели</v>
          </cell>
          <cell r="O37">
            <v>130</v>
          </cell>
        </row>
        <row r="38">
          <cell r="B38">
            <v>5</v>
          </cell>
          <cell r="E38" t="str">
            <v>Итог на конец недели</v>
          </cell>
          <cell r="F38">
            <v>5160</v>
          </cell>
          <cell r="G38">
            <v>19466</v>
          </cell>
          <cell r="H38">
            <v>25088</v>
          </cell>
          <cell r="I38">
            <v>37888</v>
          </cell>
          <cell r="K38">
            <v>39334</v>
          </cell>
          <cell r="L38">
            <v>3636</v>
          </cell>
          <cell r="O38">
            <v>2246</v>
          </cell>
        </row>
        <row r="39">
          <cell r="B39">
            <v>6</v>
          </cell>
          <cell r="E39" t="str">
            <v>Остаток на начало недели</v>
          </cell>
          <cell r="F39">
            <v>5160</v>
          </cell>
          <cell r="G39">
            <v>19466</v>
          </cell>
          <cell r="H39">
            <v>25088</v>
          </cell>
          <cell r="I39">
            <v>37888</v>
          </cell>
          <cell r="K39">
            <v>39334</v>
          </cell>
          <cell r="L39">
            <v>3636</v>
          </cell>
          <cell r="O39">
            <v>2246</v>
          </cell>
        </row>
        <row r="40">
          <cell r="B40">
            <v>6</v>
          </cell>
          <cell r="E40" t="str">
            <v>Расход на складе</v>
          </cell>
          <cell r="F40">
            <v>120</v>
          </cell>
          <cell r="G40">
            <v>4352</v>
          </cell>
          <cell r="H40">
            <v>512</v>
          </cell>
          <cell r="I40">
            <v>1024</v>
          </cell>
          <cell r="K40">
            <v>600</v>
          </cell>
          <cell r="L40">
            <v>0</v>
          </cell>
          <cell r="O40">
            <v>48</v>
          </cell>
        </row>
        <row r="41">
          <cell r="B41">
            <v>6</v>
          </cell>
          <cell r="E41" t="str">
            <v xml:space="preserve">Отгрузка в магазин </v>
          </cell>
          <cell r="G41">
            <v>352</v>
          </cell>
        </row>
        <row r="42">
          <cell r="B42">
            <v>6</v>
          </cell>
          <cell r="E42" t="str">
            <v>Приход в течение недели</v>
          </cell>
          <cell r="G42">
            <v>16384</v>
          </cell>
        </row>
        <row r="43">
          <cell r="B43">
            <v>6</v>
          </cell>
          <cell r="E43" t="str">
            <v>Итог на конец недели</v>
          </cell>
          <cell r="F43">
            <v>5040</v>
          </cell>
          <cell r="G43">
            <v>31146</v>
          </cell>
          <cell r="H43">
            <v>24576</v>
          </cell>
          <cell r="I43">
            <v>36864</v>
          </cell>
          <cell r="K43">
            <v>38734</v>
          </cell>
          <cell r="L43">
            <v>3636</v>
          </cell>
          <cell r="O43">
            <v>2198</v>
          </cell>
        </row>
        <row r="44">
          <cell r="B44">
            <v>7</v>
          </cell>
          <cell r="E44" t="str">
            <v>Остаток на начало недели</v>
          </cell>
          <cell r="F44">
            <v>5040</v>
          </cell>
          <cell r="G44">
            <v>31146</v>
          </cell>
          <cell r="H44">
            <v>24576</v>
          </cell>
          <cell r="I44">
            <v>36864</v>
          </cell>
          <cell r="K44">
            <v>38734</v>
          </cell>
          <cell r="L44">
            <v>3636</v>
          </cell>
          <cell r="O44">
            <v>2198</v>
          </cell>
        </row>
        <row r="45">
          <cell r="B45">
            <v>7</v>
          </cell>
          <cell r="E45" t="str">
            <v>Расход на складе</v>
          </cell>
          <cell r="F45">
            <v>0</v>
          </cell>
          <cell r="G45">
            <v>3488</v>
          </cell>
          <cell r="H45">
            <v>1536</v>
          </cell>
          <cell r="I45">
            <v>2000</v>
          </cell>
          <cell r="K45">
            <v>984</v>
          </cell>
          <cell r="L45">
            <v>0</v>
          </cell>
          <cell r="O45">
            <v>48</v>
          </cell>
        </row>
        <row r="46">
          <cell r="B46">
            <v>7</v>
          </cell>
          <cell r="E46" t="str">
            <v xml:space="preserve">Отгрузка в магазин </v>
          </cell>
        </row>
        <row r="47">
          <cell r="B47">
            <v>7</v>
          </cell>
          <cell r="E47" t="str">
            <v>Приход в течение недели</v>
          </cell>
        </row>
        <row r="48">
          <cell r="B48">
            <v>7</v>
          </cell>
          <cell r="E48" t="str">
            <v>Итог на конец недели</v>
          </cell>
          <cell r="F48">
            <v>5040</v>
          </cell>
          <cell r="G48">
            <v>27658</v>
          </cell>
          <cell r="H48">
            <v>23040</v>
          </cell>
          <cell r="I48">
            <v>34864</v>
          </cell>
          <cell r="K48">
            <v>37750</v>
          </cell>
          <cell r="L48">
            <v>3636</v>
          </cell>
          <cell r="O48">
            <v>2150</v>
          </cell>
        </row>
        <row r="49">
          <cell r="B49">
            <v>8</v>
          </cell>
          <cell r="E49" t="str">
            <v>Остаток на начало недели</v>
          </cell>
          <cell r="F49">
            <v>5040</v>
          </cell>
          <cell r="G49">
            <v>27658</v>
          </cell>
          <cell r="H49">
            <v>23040</v>
          </cell>
          <cell r="I49">
            <v>34864</v>
          </cell>
          <cell r="K49">
            <v>37750</v>
          </cell>
          <cell r="L49">
            <v>3636</v>
          </cell>
          <cell r="O49">
            <v>2150</v>
          </cell>
        </row>
        <row r="50">
          <cell r="B50">
            <v>8</v>
          </cell>
          <cell r="E50" t="str">
            <v>Расход на складе</v>
          </cell>
          <cell r="F50">
            <v>0</v>
          </cell>
          <cell r="G50">
            <v>4608</v>
          </cell>
          <cell r="H50">
            <v>1536</v>
          </cell>
          <cell r="I50">
            <v>1024</v>
          </cell>
          <cell r="K50">
            <v>1248</v>
          </cell>
          <cell r="L50">
            <v>0</v>
          </cell>
          <cell r="O50">
            <v>40</v>
          </cell>
        </row>
        <row r="51">
          <cell r="B51">
            <v>8</v>
          </cell>
          <cell r="E51" t="str">
            <v xml:space="preserve">Отгрузка в магазин </v>
          </cell>
        </row>
        <row r="52">
          <cell r="B52">
            <v>8</v>
          </cell>
          <cell r="E52" t="str">
            <v>Приход в течение недели</v>
          </cell>
        </row>
        <row r="53">
          <cell r="B53">
            <v>8</v>
          </cell>
          <cell r="E53" t="str">
            <v>Итог на конец недели</v>
          </cell>
          <cell r="F53">
            <v>5040</v>
          </cell>
          <cell r="G53">
            <v>23050</v>
          </cell>
          <cell r="H53">
            <v>21504</v>
          </cell>
          <cell r="I53">
            <v>33840</v>
          </cell>
          <cell r="K53">
            <v>36502</v>
          </cell>
          <cell r="L53">
            <v>3636</v>
          </cell>
          <cell r="O53">
            <v>2110</v>
          </cell>
        </row>
        <row r="54">
          <cell r="B54">
            <v>9</v>
          </cell>
          <cell r="E54" t="str">
            <v>Остаток на начало недели</v>
          </cell>
          <cell r="F54">
            <v>5040</v>
          </cell>
          <cell r="G54">
            <v>23050</v>
          </cell>
          <cell r="H54">
            <v>21504</v>
          </cell>
          <cell r="I54">
            <v>33840</v>
          </cell>
          <cell r="K54">
            <v>36502</v>
          </cell>
          <cell r="L54">
            <v>3636</v>
          </cell>
          <cell r="O54">
            <v>2110</v>
          </cell>
        </row>
        <row r="55">
          <cell r="B55">
            <v>9</v>
          </cell>
          <cell r="E55" t="str">
            <v>Расход на складе</v>
          </cell>
          <cell r="F55">
            <v>0</v>
          </cell>
          <cell r="G55">
            <v>5376</v>
          </cell>
          <cell r="H55">
            <v>1024</v>
          </cell>
          <cell r="I55">
            <v>2608</v>
          </cell>
          <cell r="K55">
            <v>46</v>
          </cell>
          <cell r="L55">
            <v>0</v>
          </cell>
          <cell r="O55">
            <v>68</v>
          </cell>
        </row>
        <row r="56">
          <cell r="B56">
            <v>9</v>
          </cell>
          <cell r="E56" t="str">
            <v xml:space="preserve">Отгрузка в магазин </v>
          </cell>
        </row>
        <row r="57">
          <cell r="B57">
            <v>9</v>
          </cell>
          <cell r="E57" t="str">
            <v>Приход в течение недели</v>
          </cell>
          <cell r="G57">
            <v>8192</v>
          </cell>
        </row>
        <row r="58">
          <cell r="B58">
            <v>9</v>
          </cell>
          <cell r="E58" t="str">
            <v>Итог на конец недели</v>
          </cell>
          <cell r="F58">
            <v>5040</v>
          </cell>
          <cell r="G58">
            <v>25866</v>
          </cell>
          <cell r="H58">
            <v>20480</v>
          </cell>
          <cell r="I58">
            <v>31232</v>
          </cell>
          <cell r="K58">
            <v>36456</v>
          </cell>
          <cell r="L58">
            <v>3636</v>
          </cell>
          <cell r="O58">
            <v>2042</v>
          </cell>
        </row>
        <row r="59">
          <cell r="B59">
            <v>10</v>
          </cell>
          <cell r="E59" t="str">
            <v>Остаток на начало недели</v>
          </cell>
          <cell r="F59">
            <v>5040</v>
          </cell>
          <cell r="G59">
            <v>25866</v>
          </cell>
          <cell r="H59">
            <v>20480</v>
          </cell>
          <cell r="I59">
            <v>31232</v>
          </cell>
          <cell r="K59">
            <v>36456</v>
          </cell>
          <cell r="L59">
            <v>3636</v>
          </cell>
          <cell r="O59">
            <v>2042</v>
          </cell>
        </row>
        <row r="60">
          <cell r="B60">
            <v>10</v>
          </cell>
          <cell r="E60" t="str">
            <v>Расход на складе</v>
          </cell>
          <cell r="F60">
            <v>0</v>
          </cell>
          <cell r="G60">
            <v>5120</v>
          </cell>
          <cell r="H60">
            <v>2048</v>
          </cell>
          <cell r="I60">
            <v>2560</v>
          </cell>
          <cell r="K60">
            <v>120</v>
          </cell>
          <cell r="L60">
            <v>0</v>
          </cell>
          <cell r="O60">
            <v>40</v>
          </cell>
        </row>
        <row r="61">
          <cell r="B61">
            <v>10</v>
          </cell>
          <cell r="E61" t="str">
            <v xml:space="preserve">Отгрузка в магазин </v>
          </cell>
          <cell r="I61">
            <v>11264</v>
          </cell>
        </row>
        <row r="62">
          <cell r="B62">
            <v>10</v>
          </cell>
          <cell r="E62" t="str">
            <v>Приход в течение недели</v>
          </cell>
        </row>
        <row r="63">
          <cell r="B63">
            <v>10</v>
          </cell>
          <cell r="E63" t="str">
            <v>Итог на конец недели</v>
          </cell>
          <cell r="F63">
            <v>5040</v>
          </cell>
          <cell r="G63">
            <v>20746</v>
          </cell>
          <cell r="H63">
            <v>18432</v>
          </cell>
          <cell r="I63">
            <v>17408</v>
          </cell>
          <cell r="K63">
            <v>36336</v>
          </cell>
          <cell r="L63">
            <v>3636</v>
          </cell>
          <cell r="O63">
            <v>2002</v>
          </cell>
        </row>
        <row r="64">
          <cell r="B64">
            <v>11</v>
          </cell>
          <cell r="E64" t="str">
            <v>Остаток на начало недели</v>
          </cell>
          <cell r="F64">
            <v>5040</v>
          </cell>
          <cell r="G64">
            <v>20746</v>
          </cell>
          <cell r="H64">
            <v>18432</v>
          </cell>
          <cell r="I64">
            <v>17408</v>
          </cell>
          <cell r="K64">
            <v>36336</v>
          </cell>
          <cell r="L64">
            <v>3636</v>
          </cell>
          <cell r="O64">
            <v>2002</v>
          </cell>
        </row>
        <row r="65">
          <cell r="B65">
            <v>11</v>
          </cell>
          <cell r="E65" t="str">
            <v>Расход на складе</v>
          </cell>
          <cell r="F65">
            <v>0</v>
          </cell>
          <cell r="G65">
            <v>5120</v>
          </cell>
          <cell r="H65">
            <v>1024</v>
          </cell>
          <cell r="I65">
            <v>1536</v>
          </cell>
          <cell r="K65">
            <v>1512</v>
          </cell>
          <cell r="L65">
            <v>0</v>
          </cell>
          <cell r="O65">
            <v>68</v>
          </cell>
        </row>
        <row r="66">
          <cell r="B66">
            <v>11</v>
          </cell>
          <cell r="E66" t="str">
            <v xml:space="preserve">Отгрузка в магазин </v>
          </cell>
        </row>
        <row r="67">
          <cell r="B67">
            <v>11</v>
          </cell>
          <cell r="E67" t="str">
            <v>Приход в течение недели</v>
          </cell>
        </row>
        <row r="68">
          <cell r="B68">
            <v>11</v>
          </cell>
          <cell r="E68" t="str">
            <v>Итог на конец недели</v>
          </cell>
          <cell r="F68">
            <v>5040</v>
          </cell>
          <cell r="G68">
            <v>15626</v>
          </cell>
          <cell r="H68">
            <v>17408</v>
          </cell>
          <cell r="I68">
            <v>15872</v>
          </cell>
          <cell r="K68">
            <v>34824</v>
          </cell>
          <cell r="L68">
            <v>3636</v>
          </cell>
          <cell r="O68">
            <v>1934</v>
          </cell>
        </row>
        <row r="69">
          <cell r="B69">
            <v>12</v>
          </cell>
          <cell r="E69" t="str">
            <v>Остаток на начало недели</v>
          </cell>
          <cell r="F69">
            <v>5040</v>
          </cell>
          <cell r="G69">
            <v>15626</v>
          </cell>
          <cell r="H69">
            <v>17408</v>
          </cell>
          <cell r="I69">
            <v>15872</v>
          </cell>
          <cell r="K69">
            <v>34824</v>
          </cell>
          <cell r="L69">
            <v>3636</v>
          </cell>
          <cell r="O69">
            <v>1934</v>
          </cell>
        </row>
        <row r="70">
          <cell r="B70">
            <v>12</v>
          </cell>
          <cell r="E70" t="str">
            <v>Расход на складе</v>
          </cell>
          <cell r="F70">
            <v>0</v>
          </cell>
          <cell r="G70">
            <v>3328</v>
          </cell>
          <cell r="H70">
            <v>6656</v>
          </cell>
          <cell r="I70">
            <v>2048</v>
          </cell>
          <cell r="K70">
            <v>2400</v>
          </cell>
          <cell r="L70">
            <v>216</v>
          </cell>
          <cell r="O70">
            <v>12</v>
          </cell>
        </row>
        <row r="71">
          <cell r="B71">
            <v>12</v>
          </cell>
          <cell r="E71" t="str">
            <v xml:space="preserve">Отгрузка в магазин </v>
          </cell>
        </row>
        <row r="72">
          <cell r="B72">
            <v>12</v>
          </cell>
          <cell r="E72" t="str">
            <v>Приход в течение недели</v>
          </cell>
          <cell r="G72">
            <v>24064</v>
          </cell>
          <cell r="H72">
            <v>16896</v>
          </cell>
        </row>
        <row r="73">
          <cell r="B73">
            <v>12</v>
          </cell>
          <cell r="E73" t="str">
            <v>Итог на конец недели</v>
          </cell>
          <cell r="F73">
            <v>5040</v>
          </cell>
          <cell r="G73">
            <v>36362</v>
          </cell>
          <cell r="H73">
            <v>27648</v>
          </cell>
          <cell r="I73">
            <v>13824</v>
          </cell>
          <cell r="K73">
            <v>32424</v>
          </cell>
          <cell r="L73">
            <v>3420</v>
          </cell>
          <cell r="O73">
            <v>1922</v>
          </cell>
        </row>
        <row r="74">
          <cell r="B74">
            <v>13</v>
          </cell>
          <cell r="E74" t="str">
            <v>Остаток на начало недели</v>
          </cell>
          <cell r="F74">
            <v>5040</v>
          </cell>
          <cell r="G74">
            <v>36362</v>
          </cell>
          <cell r="H74">
            <v>27648</v>
          </cell>
          <cell r="I74">
            <v>13824</v>
          </cell>
          <cell r="K74">
            <v>32424</v>
          </cell>
          <cell r="L74">
            <v>3420</v>
          </cell>
          <cell r="O74">
            <v>1922</v>
          </cell>
        </row>
        <row r="75">
          <cell r="B75">
            <v>13</v>
          </cell>
          <cell r="E75" t="str">
            <v>Расход на складе</v>
          </cell>
          <cell r="F75">
            <v>0</v>
          </cell>
          <cell r="G75">
            <v>3200</v>
          </cell>
          <cell r="H75">
            <v>3900</v>
          </cell>
          <cell r="I75">
            <v>2600</v>
          </cell>
          <cell r="K75">
            <v>1430</v>
          </cell>
          <cell r="L75">
            <v>0</v>
          </cell>
          <cell r="O75">
            <v>150</v>
          </cell>
        </row>
        <row r="76">
          <cell r="B76">
            <v>13</v>
          </cell>
          <cell r="E76" t="str">
            <v xml:space="preserve">Отгрузка в магазин </v>
          </cell>
        </row>
        <row r="77">
          <cell r="B77">
            <v>13</v>
          </cell>
          <cell r="E77" t="str">
            <v>Приход в течение недели</v>
          </cell>
          <cell r="H77">
            <v>18480</v>
          </cell>
          <cell r="I77">
            <v>42000</v>
          </cell>
        </row>
        <row r="78">
          <cell r="B78">
            <v>13</v>
          </cell>
          <cell r="E78" t="str">
            <v>Итог на конец недели</v>
          </cell>
          <cell r="F78">
            <v>5040</v>
          </cell>
          <cell r="G78">
            <v>33162</v>
          </cell>
          <cell r="H78">
            <v>42228</v>
          </cell>
          <cell r="I78">
            <v>53224</v>
          </cell>
          <cell r="K78">
            <v>30994</v>
          </cell>
          <cell r="L78">
            <v>3420</v>
          </cell>
          <cell r="O78">
            <v>1772</v>
          </cell>
        </row>
        <row r="79">
          <cell r="B79">
            <v>14</v>
          </cell>
          <cell r="E79" t="str">
            <v>Остаток на начало недели</v>
          </cell>
          <cell r="F79">
            <v>5040</v>
          </cell>
          <cell r="G79">
            <v>33162</v>
          </cell>
          <cell r="H79">
            <v>42228</v>
          </cell>
          <cell r="I79">
            <v>53224</v>
          </cell>
          <cell r="K79">
            <v>30994</v>
          </cell>
          <cell r="L79">
            <v>3420</v>
          </cell>
          <cell r="O79">
            <v>1772</v>
          </cell>
        </row>
        <row r="80">
          <cell r="B80">
            <v>14</v>
          </cell>
          <cell r="E80" t="str">
            <v>Расход на складе</v>
          </cell>
          <cell r="F80">
            <v>0</v>
          </cell>
          <cell r="G80">
            <v>3300</v>
          </cell>
          <cell r="H80">
            <v>2500</v>
          </cell>
          <cell r="I80">
            <v>6120</v>
          </cell>
          <cell r="K80">
            <v>1230</v>
          </cell>
          <cell r="L80">
            <v>0</v>
          </cell>
          <cell r="O80">
            <v>446</v>
          </cell>
        </row>
        <row r="81">
          <cell r="B81">
            <v>14</v>
          </cell>
          <cell r="E81" t="str">
            <v xml:space="preserve">Отгрузка в магазин </v>
          </cell>
        </row>
        <row r="82">
          <cell r="B82">
            <v>14</v>
          </cell>
          <cell r="E82" t="str">
            <v>Приход в течение недели</v>
          </cell>
        </row>
        <row r="83">
          <cell r="B83">
            <v>14</v>
          </cell>
          <cell r="E83" t="str">
            <v>Итог на конец недели</v>
          </cell>
          <cell r="F83">
            <v>5040</v>
          </cell>
          <cell r="G83">
            <v>29862</v>
          </cell>
          <cell r="H83">
            <v>39728</v>
          </cell>
          <cell r="I83">
            <v>47104</v>
          </cell>
          <cell r="K83">
            <v>29764</v>
          </cell>
          <cell r="L83">
            <v>3420</v>
          </cell>
          <cell r="O83">
            <v>1326</v>
          </cell>
        </row>
        <row r="84">
          <cell r="B84">
            <v>15</v>
          </cell>
          <cell r="E84" t="str">
            <v>Остаток на начало недели</v>
          </cell>
          <cell r="F84">
            <v>5040</v>
          </cell>
          <cell r="G84">
            <v>29862</v>
          </cell>
          <cell r="H84">
            <v>39728</v>
          </cell>
          <cell r="I84">
            <v>47104</v>
          </cell>
          <cell r="K84">
            <v>29764</v>
          </cell>
          <cell r="L84">
            <v>3420</v>
          </cell>
          <cell r="O84">
            <v>1326</v>
          </cell>
        </row>
        <row r="85">
          <cell r="B85">
            <v>15</v>
          </cell>
          <cell r="E85" t="str">
            <v>Расход на складе</v>
          </cell>
          <cell r="F85">
            <v>0</v>
          </cell>
          <cell r="G85">
            <v>3072</v>
          </cell>
          <cell r="H85">
            <v>2560</v>
          </cell>
          <cell r="I85">
            <v>2048</v>
          </cell>
          <cell r="K85">
            <v>1516</v>
          </cell>
          <cell r="L85">
            <v>0</v>
          </cell>
          <cell r="O85">
            <v>234</v>
          </cell>
        </row>
        <row r="86">
          <cell r="B86">
            <v>15</v>
          </cell>
          <cell r="E86" t="str">
            <v xml:space="preserve">Отгрузка в магазин </v>
          </cell>
        </row>
        <row r="87">
          <cell r="B87">
            <v>15</v>
          </cell>
          <cell r="E87" t="str">
            <v>Приход в течение недели</v>
          </cell>
        </row>
        <row r="88">
          <cell r="B88">
            <v>15</v>
          </cell>
          <cell r="E88" t="str">
            <v>Итог на конец недели</v>
          </cell>
          <cell r="F88">
            <v>5040</v>
          </cell>
          <cell r="G88">
            <v>26790</v>
          </cell>
          <cell r="H88">
            <v>37168</v>
          </cell>
          <cell r="I88">
            <v>45056</v>
          </cell>
          <cell r="K88">
            <v>28248</v>
          </cell>
          <cell r="L88">
            <v>3420</v>
          </cell>
          <cell r="O88">
            <v>1092</v>
          </cell>
        </row>
        <row r="89">
          <cell r="B89">
            <v>16</v>
          </cell>
          <cell r="E89" t="str">
            <v>Остаток на начало недели</v>
          </cell>
          <cell r="F89">
            <v>5040</v>
          </cell>
          <cell r="G89">
            <v>26790</v>
          </cell>
          <cell r="H89">
            <v>37168</v>
          </cell>
          <cell r="I89">
            <v>45056</v>
          </cell>
          <cell r="K89">
            <v>28248</v>
          </cell>
          <cell r="L89">
            <v>3420</v>
          </cell>
          <cell r="O89">
            <v>1092</v>
          </cell>
        </row>
        <row r="90">
          <cell r="B90">
            <v>16</v>
          </cell>
          <cell r="E90" t="str">
            <v>Расход на складе</v>
          </cell>
          <cell r="F90">
            <v>0</v>
          </cell>
          <cell r="G90">
            <v>3312</v>
          </cell>
          <cell r="H90">
            <v>1024</v>
          </cell>
          <cell r="I90">
            <v>6144</v>
          </cell>
          <cell r="K90">
            <v>1848</v>
          </cell>
          <cell r="L90">
            <v>0</v>
          </cell>
          <cell r="O90">
            <v>241</v>
          </cell>
        </row>
        <row r="91">
          <cell r="B91">
            <v>16</v>
          </cell>
          <cell r="E91" t="str">
            <v xml:space="preserve">Отгрузка в магазин </v>
          </cell>
        </row>
        <row r="92">
          <cell r="B92">
            <v>16</v>
          </cell>
          <cell r="E92" t="str">
            <v>Приход в течение недели</v>
          </cell>
        </row>
        <row r="93">
          <cell r="B93">
            <v>16</v>
          </cell>
          <cell r="E93" t="str">
            <v>Итог на конец недели</v>
          </cell>
          <cell r="F93">
            <v>5040</v>
          </cell>
          <cell r="G93">
            <v>23478</v>
          </cell>
          <cell r="H93">
            <v>36144</v>
          </cell>
          <cell r="I93">
            <v>38912</v>
          </cell>
          <cell r="K93">
            <v>26400</v>
          </cell>
          <cell r="L93">
            <v>3420</v>
          </cell>
          <cell r="O93">
            <v>851</v>
          </cell>
        </row>
        <row r="94">
          <cell r="B94">
            <v>17</v>
          </cell>
          <cell r="E94" t="str">
            <v>Остаток на начало недели</v>
          </cell>
          <cell r="F94">
            <v>5040</v>
          </cell>
          <cell r="G94">
            <v>23478</v>
          </cell>
          <cell r="H94">
            <v>36144</v>
          </cell>
          <cell r="I94">
            <v>38912</v>
          </cell>
          <cell r="K94">
            <v>26400</v>
          </cell>
          <cell r="L94">
            <v>3420</v>
          </cell>
          <cell r="O94">
            <v>851</v>
          </cell>
        </row>
        <row r="95">
          <cell r="B95">
            <v>17</v>
          </cell>
          <cell r="E95" t="str">
            <v>Расход на складе</v>
          </cell>
          <cell r="F95">
            <v>0</v>
          </cell>
          <cell r="G95">
            <v>2560</v>
          </cell>
          <cell r="H95">
            <v>1521</v>
          </cell>
          <cell r="I95">
            <v>8192</v>
          </cell>
          <cell r="K95">
            <v>698</v>
          </cell>
          <cell r="L95">
            <v>216</v>
          </cell>
          <cell r="O95">
            <v>211</v>
          </cell>
        </row>
        <row r="96">
          <cell r="B96">
            <v>17</v>
          </cell>
          <cell r="E96" t="str">
            <v xml:space="preserve">Отгрузка в магазин </v>
          </cell>
        </row>
        <row r="97">
          <cell r="B97">
            <v>17</v>
          </cell>
          <cell r="E97" t="str">
            <v>Приход в течение недели</v>
          </cell>
        </row>
        <row r="98">
          <cell r="B98">
            <v>17</v>
          </cell>
          <cell r="E98" t="str">
            <v>Итог на конец недели</v>
          </cell>
          <cell r="F98">
            <v>5040</v>
          </cell>
          <cell r="G98">
            <v>20918</v>
          </cell>
          <cell r="H98">
            <v>34623</v>
          </cell>
          <cell r="I98">
            <v>30720</v>
          </cell>
          <cell r="K98">
            <v>25702</v>
          </cell>
          <cell r="L98">
            <v>3204</v>
          </cell>
          <cell r="O98">
            <v>640</v>
          </cell>
        </row>
        <row r="99">
          <cell r="B99">
            <v>18</v>
          </cell>
          <cell r="E99" t="str">
            <v>Остаток на начало недели</v>
          </cell>
          <cell r="F99">
            <v>5040</v>
          </cell>
          <cell r="G99">
            <v>20918</v>
          </cell>
          <cell r="H99">
            <v>34623</v>
          </cell>
          <cell r="I99">
            <v>30720</v>
          </cell>
          <cell r="K99">
            <v>25702</v>
          </cell>
          <cell r="L99">
            <v>3204</v>
          </cell>
          <cell r="O99">
            <v>640</v>
          </cell>
        </row>
        <row r="100">
          <cell r="B100">
            <v>18</v>
          </cell>
          <cell r="E100" t="str">
            <v>Расход на складе</v>
          </cell>
          <cell r="F100">
            <v>0</v>
          </cell>
          <cell r="G100">
            <v>2754</v>
          </cell>
          <cell r="H100">
            <v>1032</v>
          </cell>
          <cell r="I100">
            <v>10240</v>
          </cell>
          <cell r="K100">
            <v>421</v>
          </cell>
          <cell r="L100">
            <v>0</v>
          </cell>
          <cell r="O100">
            <v>141</v>
          </cell>
        </row>
        <row r="101">
          <cell r="B101">
            <v>18</v>
          </cell>
          <cell r="E101" t="str">
            <v xml:space="preserve">Отгрузка в магазин </v>
          </cell>
        </row>
        <row r="102">
          <cell r="B102">
            <v>18</v>
          </cell>
          <cell r="E102" t="str">
            <v>Приход в течение недели</v>
          </cell>
        </row>
        <row r="103">
          <cell r="B103">
            <v>18</v>
          </cell>
          <cell r="E103" t="str">
            <v>Итог на конец недели</v>
          </cell>
          <cell r="F103">
            <v>5040</v>
          </cell>
          <cell r="G103">
            <v>23984</v>
          </cell>
          <cell r="H103">
            <v>44112</v>
          </cell>
          <cell r="I103">
            <v>39040</v>
          </cell>
          <cell r="K103">
            <v>25281</v>
          </cell>
          <cell r="L103">
            <v>3204</v>
          </cell>
          <cell r="O103">
            <v>499</v>
          </cell>
        </row>
        <row r="104">
          <cell r="B104">
            <v>19</v>
          </cell>
          <cell r="E104" t="str">
            <v>Остаток на начало недели</v>
          </cell>
          <cell r="F104">
            <v>5040</v>
          </cell>
          <cell r="G104">
            <v>23984</v>
          </cell>
          <cell r="H104">
            <v>44112</v>
          </cell>
          <cell r="I104">
            <v>39040</v>
          </cell>
          <cell r="K104">
            <v>25281</v>
          </cell>
          <cell r="L104">
            <v>3204</v>
          </cell>
          <cell r="O104">
            <v>499</v>
          </cell>
        </row>
        <row r="105">
          <cell r="B105">
            <v>19</v>
          </cell>
          <cell r="E105" t="str">
            <v>Расход на складе</v>
          </cell>
          <cell r="F105">
            <v>0</v>
          </cell>
          <cell r="G105">
            <v>2404</v>
          </cell>
          <cell r="H105">
            <v>3232</v>
          </cell>
          <cell r="I105">
            <v>1520</v>
          </cell>
          <cell r="K105">
            <v>512</v>
          </cell>
          <cell r="L105">
            <v>0</v>
          </cell>
          <cell r="O105">
            <v>81</v>
          </cell>
        </row>
        <row r="106">
          <cell r="B106">
            <v>19</v>
          </cell>
          <cell r="E106" t="str">
            <v xml:space="preserve">Отгрузка в магазин </v>
          </cell>
        </row>
        <row r="107">
          <cell r="B107">
            <v>19</v>
          </cell>
          <cell r="E107" t="str">
            <v>Приход в течение недели</v>
          </cell>
        </row>
        <row r="108">
          <cell r="B108">
            <v>19</v>
          </cell>
          <cell r="E108" t="str">
            <v>Итог на конец недели</v>
          </cell>
          <cell r="F108">
            <v>5040</v>
          </cell>
          <cell r="G108">
            <v>21580</v>
          </cell>
          <cell r="H108">
            <v>40880</v>
          </cell>
          <cell r="I108">
            <v>37520</v>
          </cell>
          <cell r="K108">
            <v>24769</v>
          </cell>
          <cell r="L108">
            <v>3204</v>
          </cell>
          <cell r="O108">
            <v>418</v>
          </cell>
        </row>
        <row r="109">
          <cell r="B109">
            <v>20</v>
          </cell>
          <cell r="E109" t="str">
            <v>Остаток на начало недели</v>
          </cell>
          <cell r="F109">
            <v>5040</v>
          </cell>
          <cell r="G109">
            <v>21580</v>
          </cell>
          <cell r="H109">
            <v>40880</v>
          </cell>
          <cell r="I109">
            <v>37520</v>
          </cell>
          <cell r="K109">
            <v>24769</v>
          </cell>
          <cell r="L109">
            <v>3204</v>
          </cell>
          <cell r="O109">
            <v>418</v>
          </cell>
        </row>
        <row r="110">
          <cell r="B110">
            <v>20</v>
          </cell>
          <cell r="E110" t="str">
            <v>Расход на складе</v>
          </cell>
          <cell r="F110">
            <v>0</v>
          </cell>
          <cell r="G110">
            <v>1616</v>
          </cell>
          <cell r="H110">
            <v>3520</v>
          </cell>
          <cell r="I110">
            <v>864</v>
          </cell>
          <cell r="K110">
            <v>475</v>
          </cell>
          <cell r="L110">
            <v>0</v>
          </cell>
          <cell r="O110">
            <v>87</v>
          </cell>
        </row>
        <row r="111">
          <cell r="B111">
            <v>20</v>
          </cell>
          <cell r="E111" t="str">
            <v xml:space="preserve">Отгрузка в магазин </v>
          </cell>
          <cell r="H111">
            <v>1120</v>
          </cell>
        </row>
        <row r="112">
          <cell r="B112">
            <v>20</v>
          </cell>
          <cell r="E112" t="str">
            <v>Приход в течение недели</v>
          </cell>
          <cell r="G112">
            <v>8700</v>
          </cell>
        </row>
        <row r="113">
          <cell r="B113">
            <v>20</v>
          </cell>
          <cell r="E113" t="str">
            <v>Итог на конец недели</v>
          </cell>
          <cell r="F113">
            <v>5040</v>
          </cell>
          <cell r="G113">
            <v>28664</v>
          </cell>
          <cell r="H113">
            <v>36240</v>
          </cell>
          <cell r="I113">
            <v>36656</v>
          </cell>
          <cell r="K113">
            <v>24294</v>
          </cell>
          <cell r="L113">
            <v>3204</v>
          </cell>
          <cell r="O113">
            <v>331</v>
          </cell>
        </row>
        <row r="114">
          <cell r="B114">
            <v>21</v>
          </cell>
          <cell r="E114" t="str">
            <v>Остаток на начало недели</v>
          </cell>
          <cell r="F114">
            <v>5040</v>
          </cell>
          <cell r="G114">
            <v>28664</v>
          </cell>
          <cell r="H114">
            <v>36240</v>
          </cell>
          <cell r="I114">
            <v>36656</v>
          </cell>
          <cell r="K114">
            <v>24294</v>
          </cell>
          <cell r="L114">
            <v>3204</v>
          </cell>
          <cell r="O114">
            <v>331</v>
          </cell>
        </row>
        <row r="115">
          <cell r="B115">
            <v>21</v>
          </cell>
          <cell r="E115" t="str">
            <v>Расход на складе</v>
          </cell>
          <cell r="F115">
            <v>0</v>
          </cell>
          <cell r="G115">
            <v>1784</v>
          </cell>
          <cell r="H115">
            <v>2080</v>
          </cell>
          <cell r="I115">
            <v>1376</v>
          </cell>
          <cell r="K115">
            <v>294</v>
          </cell>
          <cell r="L115">
            <v>0</v>
          </cell>
          <cell r="O115">
            <v>126</v>
          </cell>
        </row>
        <row r="116">
          <cell r="B116">
            <v>21</v>
          </cell>
          <cell r="E116" t="str">
            <v xml:space="preserve">Отгрузка в магазин </v>
          </cell>
        </row>
        <row r="117">
          <cell r="B117">
            <v>21</v>
          </cell>
          <cell r="E117" t="str">
            <v>Приход в течение недели</v>
          </cell>
          <cell r="G117">
            <v>17920</v>
          </cell>
          <cell r="H117">
            <v>18480</v>
          </cell>
          <cell r="I117">
            <v>18480</v>
          </cell>
          <cell r="O117">
            <v>804</v>
          </cell>
        </row>
        <row r="118">
          <cell r="B118">
            <v>21</v>
          </cell>
          <cell r="E118" t="str">
            <v>Итог на конец недели</v>
          </cell>
          <cell r="F118">
            <v>5040</v>
          </cell>
          <cell r="G118">
            <v>44800</v>
          </cell>
          <cell r="H118">
            <v>52640</v>
          </cell>
          <cell r="I118">
            <v>53760</v>
          </cell>
          <cell r="K118">
            <v>24000</v>
          </cell>
          <cell r="L118">
            <v>3204</v>
          </cell>
          <cell r="O118">
            <v>1009</v>
          </cell>
        </row>
        <row r="119">
          <cell r="B119">
            <v>22</v>
          </cell>
          <cell r="E119" t="str">
            <v>Остаток на начало недели</v>
          </cell>
          <cell r="F119">
            <v>5040</v>
          </cell>
          <cell r="G119">
            <v>44800</v>
          </cell>
          <cell r="H119">
            <v>52640</v>
          </cell>
          <cell r="I119">
            <v>53760</v>
          </cell>
          <cell r="K119">
            <v>24000</v>
          </cell>
          <cell r="L119">
            <v>3204</v>
          </cell>
          <cell r="O119">
            <v>1009</v>
          </cell>
        </row>
        <row r="120">
          <cell r="B120">
            <v>22</v>
          </cell>
          <cell r="E120" t="str">
            <v>Расход на складе</v>
          </cell>
          <cell r="F120">
            <v>0</v>
          </cell>
          <cell r="G120">
            <v>1621</v>
          </cell>
          <cell r="H120">
            <v>1852</v>
          </cell>
          <cell r="I120">
            <v>1122</v>
          </cell>
          <cell r="K120">
            <v>211</v>
          </cell>
          <cell r="L120">
            <v>0</v>
          </cell>
          <cell r="O120">
            <v>132</v>
          </cell>
        </row>
        <row r="121">
          <cell r="B121">
            <v>22</v>
          </cell>
          <cell r="E121" t="str">
            <v xml:space="preserve">Отгрузка в магазин </v>
          </cell>
        </row>
        <row r="122">
          <cell r="B122">
            <v>22</v>
          </cell>
          <cell r="E122" t="str">
            <v>Приход в течение недели</v>
          </cell>
          <cell r="G122">
            <v>7560</v>
          </cell>
          <cell r="I122">
            <v>3360</v>
          </cell>
        </row>
        <row r="123">
          <cell r="B123">
            <v>22</v>
          </cell>
          <cell r="E123" t="str">
            <v>Итог на конец недели</v>
          </cell>
          <cell r="F123">
            <v>5040</v>
          </cell>
          <cell r="G123">
            <v>50739</v>
          </cell>
          <cell r="H123">
            <v>50788</v>
          </cell>
          <cell r="I123">
            <v>55998</v>
          </cell>
          <cell r="K123">
            <v>23789</v>
          </cell>
          <cell r="L123">
            <v>3204</v>
          </cell>
          <cell r="O123">
            <v>877</v>
          </cell>
        </row>
        <row r="124">
          <cell r="B124">
            <v>23</v>
          </cell>
          <cell r="E124" t="str">
            <v>Остаток на начало недели</v>
          </cell>
          <cell r="F124">
            <v>5040</v>
          </cell>
          <cell r="G124">
            <v>50739</v>
          </cell>
          <cell r="H124">
            <v>50788</v>
          </cell>
          <cell r="I124">
            <v>55998</v>
          </cell>
          <cell r="K124">
            <v>23789</v>
          </cell>
          <cell r="L124">
            <v>3204</v>
          </cell>
          <cell r="O124">
            <v>877</v>
          </cell>
        </row>
        <row r="125">
          <cell r="B125">
            <v>23</v>
          </cell>
          <cell r="E125" t="str">
            <v>Расход на складе</v>
          </cell>
          <cell r="F125">
            <v>360</v>
          </cell>
          <cell r="G125">
            <v>1723</v>
          </cell>
          <cell r="H125">
            <v>1652</v>
          </cell>
          <cell r="I125">
            <v>1680</v>
          </cell>
          <cell r="K125">
            <v>203</v>
          </cell>
          <cell r="L125">
            <v>0</v>
          </cell>
          <cell r="O125">
            <v>126</v>
          </cell>
        </row>
        <row r="126">
          <cell r="B126">
            <v>23</v>
          </cell>
          <cell r="E126" t="str">
            <v xml:space="preserve">Отгрузка в магазин </v>
          </cell>
        </row>
        <row r="127">
          <cell r="B127">
            <v>23</v>
          </cell>
          <cell r="E127" t="str">
            <v>Приход в течение недели</v>
          </cell>
          <cell r="G127">
            <v>8960</v>
          </cell>
          <cell r="J127">
            <v>20000</v>
          </cell>
        </row>
        <row r="128">
          <cell r="B128">
            <v>23</v>
          </cell>
          <cell r="E128" t="str">
            <v>Итог на конец недели</v>
          </cell>
          <cell r="F128">
            <v>4680</v>
          </cell>
          <cell r="G128">
            <v>57976</v>
          </cell>
          <cell r="H128">
            <v>49136</v>
          </cell>
          <cell r="I128">
            <v>54318</v>
          </cell>
          <cell r="J128">
            <v>20000</v>
          </cell>
          <cell r="K128">
            <v>23586</v>
          </cell>
          <cell r="L128">
            <v>3204</v>
          </cell>
          <cell r="O128">
            <v>751</v>
          </cell>
        </row>
        <row r="129">
          <cell r="B129">
            <v>24</v>
          </cell>
          <cell r="E129" t="str">
            <v>Остаток на начало недели</v>
          </cell>
          <cell r="F129">
            <v>4680</v>
          </cell>
          <cell r="G129">
            <v>57976</v>
          </cell>
          <cell r="H129">
            <v>49136</v>
          </cell>
          <cell r="I129">
            <v>54318</v>
          </cell>
          <cell r="J129">
            <v>20000</v>
          </cell>
          <cell r="K129">
            <v>23586</v>
          </cell>
          <cell r="L129">
            <v>3204</v>
          </cell>
          <cell r="O129">
            <v>751</v>
          </cell>
        </row>
        <row r="130">
          <cell r="B130">
            <v>24</v>
          </cell>
          <cell r="E130" t="str">
            <v>Расход на складе</v>
          </cell>
          <cell r="F130">
            <v>720</v>
          </cell>
          <cell r="G130">
            <v>2712</v>
          </cell>
          <cell r="H130">
            <v>2096</v>
          </cell>
          <cell r="I130">
            <v>1746</v>
          </cell>
          <cell r="J130">
            <v>0</v>
          </cell>
          <cell r="K130">
            <v>309</v>
          </cell>
          <cell r="L130">
            <v>0</v>
          </cell>
          <cell r="O130">
            <v>98</v>
          </cell>
        </row>
        <row r="131">
          <cell r="B131">
            <v>24</v>
          </cell>
          <cell r="E131" t="str">
            <v xml:space="preserve">Отгрузка в магазин </v>
          </cell>
        </row>
        <row r="132">
          <cell r="B132">
            <v>24</v>
          </cell>
          <cell r="E132" t="str">
            <v>Приход в течение недели</v>
          </cell>
        </row>
        <row r="133">
          <cell r="B133">
            <v>24</v>
          </cell>
          <cell r="E133" t="str">
            <v>Итог на конец недели</v>
          </cell>
          <cell r="F133">
            <v>3960</v>
          </cell>
          <cell r="G133">
            <v>55264</v>
          </cell>
          <cell r="H133">
            <v>47040</v>
          </cell>
          <cell r="I133">
            <v>52572</v>
          </cell>
          <cell r="J133">
            <v>20000</v>
          </cell>
          <cell r="K133">
            <v>23277</v>
          </cell>
          <cell r="L133">
            <v>3204</v>
          </cell>
          <cell r="O133">
            <v>653</v>
          </cell>
        </row>
        <row r="134">
          <cell r="B134">
            <v>25</v>
          </cell>
          <cell r="E134" t="str">
            <v>Остаток на начало недели</v>
          </cell>
          <cell r="F134">
            <v>3960</v>
          </cell>
          <cell r="G134">
            <v>55264</v>
          </cell>
          <cell r="H134">
            <v>47040</v>
          </cell>
          <cell r="I134">
            <v>52572</v>
          </cell>
          <cell r="J134">
            <v>20000</v>
          </cell>
          <cell r="K134">
            <v>23277</v>
          </cell>
          <cell r="L134">
            <v>3204</v>
          </cell>
          <cell r="O134">
            <v>653</v>
          </cell>
        </row>
        <row r="135">
          <cell r="B135">
            <v>25</v>
          </cell>
          <cell r="E135" t="str">
            <v>Расход на складе</v>
          </cell>
          <cell r="F135">
            <v>120</v>
          </cell>
          <cell r="G135">
            <v>2498</v>
          </cell>
          <cell r="H135">
            <v>2113</v>
          </cell>
          <cell r="I135">
            <v>1812</v>
          </cell>
          <cell r="J135">
            <v>0</v>
          </cell>
          <cell r="K135">
            <v>316</v>
          </cell>
          <cell r="L135">
            <v>0</v>
          </cell>
          <cell r="O135">
            <v>86</v>
          </cell>
        </row>
        <row r="136">
          <cell r="B136">
            <v>25</v>
          </cell>
          <cell r="E136" t="str">
            <v xml:space="preserve">Отгрузка в магазин </v>
          </cell>
        </row>
        <row r="137">
          <cell r="B137">
            <v>25</v>
          </cell>
          <cell r="E137" t="str">
            <v>Приход в течение недели</v>
          </cell>
          <cell r="G137">
            <v>8960</v>
          </cell>
        </row>
        <row r="138">
          <cell r="B138">
            <v>25</v>
          </cell>
          <cell r="E138" t="str">
            <v>Итог на конец недели</v>
          </cell>
          <cell r="F138">
            <v>3840</v>
          </cell>
          <cell r="G138">
            <v>61726</v>
          </cell>
          <cell r="H138">
            <v>44927</v>
          </cell>
          <cell r="I138">
            <v>50760</v>
          </cell>
          <cell r="J138">
            <v>20000</v>
          </cell>
          <cell r="K138">
            <v>22961</v>
          </cell>
          <cell r="L138">
            <v>3204</v>
          </cell>
          <cell r="O138">
            <v>567</v>
          </cell>
        </row>
        <row r="139">
          <cell r="B139">
            <v>26</v>
          </cell>
          <cell r="E139" t="str">
            <v>Остаток на начало недели</v>
          </cell>
          <cell r="F139">
            <v>3840</v>
          </cell>
          <cell r="G139">
            <v>61726</v>
          </cell>
          <cell r="H139">
            <v>44927</v>
          </cell>
          <cell r="I139">
            <v>50760</v>
          </cell>
          <cell r="J139">
            <v>20000</v>
          </cell>
          <cell r="K139">
            <v>22961</v>
          </cell>
          <cell r="L139">
            <v>3204</v>
          </cell>
          <cell r="O139">
            <v>567</v>
          </cell>
        </row>
        <row r="140">
          <cell r="B140">
            <v>26</v>
          </cell>
          <cell r="E140" t="str">
            <v>Расход на складе</v>
          </cell>
          <cell r="F140">
            <v>600</v>
          </cell>
          <cell r="G140">
            <v>2369</v>
          </cell>
          <cell r="H140">
            <v>2477</v>
          </cell>
          <cell r="I140">
            <v>1856</v>
          </cell>
          <cell r="J140">
            <v>800</v>
          </cell>
          <cell r="K140">
            <v>302</v>
          </cell>
          <cell r="L140">
            <v>0</v>
          </cell>
          <cell r="O140">
            <v>84</v>
          </cell>
        </row>
        <row r="141">
          <cell r="B141">
            <v>26</v>
          </cell>
          <cell r="E141" t="str">
            <v xml:space="preserve">Отгрузка в магазин </v>
          </cell>
        </row>
        <row r="142">
          <cell r="B142">
            <v>26</v>
          </cell>
          <cell r="E142" t="str">
            <v>Приход в течение недели</v>
          </cell>
          <cell r="H142">
            <v>4865</v>
          </cell>
          <cell r="O142">
            <v>37</v>
          </cell>
        </row>
        <row r="143">
          <cell r="B143">
            <v>26</v>
          </cell>
          <cell r="E143" t="str">
            <v>Итог на конец недели</v>
          </cell>
          <cell r="F143">
            <v>3240</v>
          </cell>
          <cell r="G143">
            <v>59357</v>
          </cell>
          <cell r="H143">
            <v>47315</v>
          </cell>
          <cell r="I143">
            <v>48904</v>
          </cell>
          <cell r="J143">
            <v>19200</v>
          </cell>
          <cell r="K143">
            <v>22659</v>
          </cell>
          <cell r="L143">
            <v>3204</v>
          </cell>
          <cell r="O143">
            <v>520</v>
          </cell>
        </row>
        <row r="144">
          <cell r="B144">
            <v>27</v>
          </cell>
          <cell r="E144" t="str">
            <v>Остаток на начало недели</v>
          </cell>
          <cell r="F144">
            <v>3240</v>
          </cell>
          <cell r="G144">
            <v>59357</v>
          </cell>
          <cell r="H144">
            <v>47315</v>
          </cell>
          <cell r="I144">
            <v>48904</v>
          </cell>
          <cell r="J144">
            <v>19200</v>
          </cell>
          <cell r="K144">
            <v>22659</v>
          </cell>
          <cell r="L144">
            <v>3204</v>
          </cell>
          <cell r="O144">
            <v>520</v>
          </cell>
        </row>
        <row r="145">
          <cell r="B145">
            <v>27</v>
          </cell>
          <cell r="E145" t="str">
            <v>Расход на складе</v>
          </cell>
          <cell r="F145">
            <v>860</v>
          </cell>
          <cell r="G145">
            <v>2465</v>
          </cell>
          <cell r="H145">
            <v>2515</v>
          </cell>
          <cell r="I145">
            <v>2001</v>
          </cell>
          <cell r="J145">
            <v>800</v>
          </cell>
          <cell r="K145">
            <v>1119</v>
          </cell>
          <cell r="L145">
            <v>0</v>
          </cell>
          <cell r="O145">
            <v>94</v>
          </cell>
        </row>
        <row r="146">
          <cell r="B146">
            <v>27</v>
          </cell>
          <cell r="E146" t="str">
            <v xml:space="preserve">Отгрузка в магазин </v>
          </cell>
        </row>
        <row r="147">
          <cell r="B147">
            <v>27</v>
          </cell>
          <cell r="E147" t="str">
            <v>Приход в течение недели</v>
          </cell>
        </row>
        <row r="148">
          <cell r="B148">
            <v>27</v>
          </cell>
          <cell r="E148" t="str">
            <v>Итог на конец недели</v>
          </cell>
          <cell r="F148">
            <v>2380</v>
          </cell>
          <cell r="G148">
            <v>56892</v>
          </cell>
          <cell r="H148">
            <v>44800</v>
          </cell>
          <cell r="I148">
            <v>46903</v>
          </cell>
          <cell r="J148">
            <v>18400</v>
          </cell>
          <cell r="K148">
            <v>21540</v>
          </cell>
          <cell r="L148">
            <v>3204</v>
          </cell>
          <cell r="O148">
            <v>426</v>
          </cell>
        </row>
        <row r="149">
          <cell r="B149">
            <v>28</v>
          </cell>
          <cell r="E149" t="str">
            <v>Остаток на начало недели</v>
          </cell>
          <cell r="F149">
            <v>2380</v>
          </cell>
          <cell r="G149">
            <v>56892</v>
          </cell>
          <cell r="H149">
            <v>44800</v>
          </cell>
          <cell r="I149">
            <v>46903</v>
          </cell>
          <cell r="J149">
            <v>18400</v>
          </cell>
          <cell r="K149">
            <v>21540</v>
          </cell>
          <cell r="L149">
            <v>3204</v>
          </cell>
          <cell r="O149">
            <v>426</v>
          </cell>
        </row>
        <row r="150">
          <cell r="B150">
            <v>28</v>
          </cell>
          <cell r="E150" t="str">
            <v>Расход на складе</v>
          </cell>
          <cell r="F150">
            <v>1540</v>
          </cell>
          <cell r="G150">
            <v>2311</v>
          </cell>
          <cell r="H150">
            <v>1560</v>
          </cell>
          <cell r="I150">
            <v>2497</v>
          </cell>
          <cell r="J150">
            <v>700</v>
          </cell>
          <cell r="K150">
            <v>1234</v>
          </cell>
          <cell r="L150">
            <v>0</v>
          </cell>
          <cell r="O150">
            <v>101</v>
          </cell>
        </row>
        <row r="151">
          <cell r="B151">
            <v>28</v>
          </cell>
          <cell r="E151" t="str">
            <v xml:space="preserve">Отгрузка в магазин </v>
          </cell>
        </row>
        <row r="152">
          <cell r="B152">
            <v>28</v>
          </cell>
          <cell r="E152" t="str">
            <v>Приход в течение недели</v>
          </cell>
        </row>
        <row r="153">
          <cell r="B153">
            <v>28</v>
          </cell>
          <cell r="E153" t="str">
            <v>Итог на конец недели</v>
          </cell>
          <cell r="F153">
            <v>840</v>
          </cell>
          <cell r="G153">
            <v>54581</v>
          </cell>
          <cell r="H153">
            <v>43240</v>
          </cell>
          <cell r="I153">
            <v>44406</v>
          </cell>
          <cell r="J153">
            <v>17700</v>
          </cell>
          <cell r="K153">
            <v>20306</v>
          </cell>
          <cell r="L153">
            <v>3204</v>
          </cell>
          <cell r="O153">
            <v>325</v>
          </cell>
        </row>
        <row r="154">
          <cell r="B154">
            <v>29</v>
          </cell>
          <cell r="E154" t="str">
            <v>Остаток на начало недели</v>
          </cell>
          <cell r="F154">
            <v>840</v>
          </cell>
          <cell r="G154">
            <v>54581</v>
          </cell>
          <cell r="H154">
            <v>43240</v>
          </cell>
          <cell r="I154">
            <v>44406</v>
          </cell>
          <cell r="J154">
            <v>17700</v>
          </cell>
          <cell r="K154">
            <v>20306</v>
          </cell>
          <cell r="L154">
            <v>3204</v>
          </cell>
          <cell r="O154">
            <v>325</v>
          </cell>
        </row>
        <row r="155">
          <cell r="B155">
            <v>29</v>
          </cell>
          <cell r="E155" t="str">
            <v>Расход на складе</v>
          </cell>
          <cell r="F155">
            <v>800</v>
          </cell>
          <cell r="G155">
            <v>2465</v>
          </cell>
          <cell r="H155">
            <v>1240</v>
          </cell>
          <cell r="I155">
            <v>2752</v>
          </cell>
          <cell r="J155">
            <v>700</v>
          </cell>
          <cell r="K155">
            <v>2003</v>
          </cell>
          <cell r="L155">
            <v>0</v>
          </cell>
          <cell r="O155">
            <v>103</v>
          </cell>
        </row>
        <row r="156">
          <cell r="B156">
            <v>29</v>
          </cell>
          <cell r="E156" t="str">
            <v xml:space="preserve">Отгрузка в магазин </v>
          </cell>
        </row>
        <row r="157">
          <cell r="B157">
            <v>29</v>
          </cell>
          <cell r="E157" t="str">
            <v>Приход в течение недели</v>
          </cell>
        </row>
        <row r="158">
          <cell r="B158">
            <v>29</v>
          </cell>
          <cell r="E158" t="str">
            <v>Итог на конец недели</v>
          </cell>
          <cell r="F158">
            <v>40</v>
          </cell>
          <cell r="G158">
            <v>52116</v>
          </cell>
          <cell r="H158">
            <v>42000</v>
          </cell>
          <cell r="I158">
            <v>41654</v>
          </cell>
          <cell r="J158">
            <v>17000</v>
          </cell>
          <cell r="K158">
            <v>18303</v>
          </cell>
          <cell r="L158">
            <v>3204</v>
          </cell>
          <cell r="O158">
            <v>222</v>
          </cell>
        </row>
        <row r="159">
          <cell r="B159">
            <v>30</v>
          </cell>
          <cell r="E159" t="str">
            <v>Остаток на начало недели</v>
          </cell>
          <cell r="F159">
            <v>40</v>
          </cell>
          <cell r="G159">
            <v>52116</v>
          </cell>
          <cell r="H159">
            <v>42000</v>
          </cell>
          <cell r="I159">
            <v>41654</v>
          </cell>
          <cell r="J159">
            <v>17000</v>
          </cell>
          <cell r="K159">
            <v>18303</v>
          </cell>
          <cell r="L159">
            <v>3204</v>
          </cell>
          <cell r="O159">
            <v>222</v>
          </cell>
        </row>
        <row r="160">
          <cell r="B160">
            <v>30</v>
          </cell>
          <cell r="E160" t="str">
            <v>Расход на складе</v>
          </cell>
          <cell r="F160">
            <v>1040</v>
          </cell>
          <cell r="G160">
            <v>2513</v>
          </cell>
          <cell r="H160">
            <v>1120</v>
          </cell>
          <cell r="I160">
            <v>2811</v>
          </cell>
          <cell r="J160">
            <v>500</v>
          </cell>
          <cell r="K160">
            <v>1998</v>
          </cell>
          <cell r="L160">
            <v>0</v>
          </cell>
          <cell r="O160">
            <v>105</v>
          </cell>
        </row>
        <row r="161">
          <cell r="B161">
            <v>30</v>
          </cell>
          <cell r="E161" t="str">
            <v xml:space="preserve">Отгрузка в магазин </v>
          </cell>
        </row>
        <row r="162">
          <cell r="B162">
            <v>30</v>
          </cell>
          <cell r="E162" t="str">
            <v>Приход в течение недели</v>
          </cell>
          <cell r="F162">
            <v>1000</v>
          </cell>
          <cell r="O162">
            <v>1548</v>
          </cell>
        </row>
        <row r="163">
          <cell r="B163">
            <v>30</v>
          </cell>
          <cell r="E163" t="str">
            <v>Итог на конец недели</v>
          </cell>
          <cell r="F163">
            <v>0</v>
          </cell>
          <cell r="G163">
            <v>49603</v>
          </cell>
          <cell r="H163">
            <v>40880</v>
          </cell>
          <cell r="I163">
            <v>38843</v>
          </cell>
          <cell r="J163">
            <v>16500</v>
          </cell>
          <cell r="K163">
            <v>16305</v>
          </cell>
          <cell r="L163">
            <v>3204</v>
          </cell>
          <cell r="O163">
            <v>1665</v>
          </cell>
        </row>
        <row r="164">
          <cell r="B164">
            <v>31</v>
          </cell>
          <cell r="E164" t="str">
            <v>Остаток на начало недели</v>
          </cell>
          <cell r="F164">
            <v>0</v>
          </cell>
          <cell r="G164">
            <v>49603</v>
          </cell>
          <cell r="H164">
            <v>40880</v>
          </cell>
          <cell r="I164">
            <v>38843</v>
          </cell>
          <cell r="J164">
            <v>16500</v>
          </cell>
          <cell r="K164">
            <v>16305</v>
          </cell>
          <cell r="L164">
            <v>3204</v>
          </cell>
          <cell r="O164">
            <v>1665</v>
          </cell>
        </row>
        <row r="165">
          <cell r="B165">
            <v>31</v>
          </cell>
          <cell r="E165" t="str">
            <v>Расход на складе</v>
          </cell>
          <cell r="F165">
            <v>0</v>
          </cell>
          <cell r="G165">
            <v>2610</v>
          </cell>
          <cell r="H165">
            <v>2800</v>
          </cell>
          <cell r="I165">
            <v>2803</v>
          </cell>
          <cell r="J165">
            <v>600</v>
          </cell>
          <cell r="K165">
            <v>1473</v>
          </cell>
          <cell r="L165">
            <v>0</v>
          </cell>
          <cell r="O165">
            <v>119</v>
          </cell>
        </row>
        <row r="166">
          <cell r="B166">
            <v>31</v>
          </cell>
          <cell r="E166" t="str">
            <v xml:space="preserve">Отгрузка в магазин </v>
          </cell>
        </row>
        <row r="167">
          <cell r="B167">
            <v>31</v>
          </cell>
          <cell r="E167" t="str">
            <v>Приход в течение недели</v>
          </cell>
          <cell r="F167">
            <v>3882</v>
          </cell>
        </row>
        <row r="168">
          <cell r="B168">
            <v>31</v>
          </cell>
          <cell r="E168" t="str">
            <v>Итог на конец недели</v>
          </cell>
          <cell r="F168">
            <v>3882</v>
          </cell>
          <cell r="G168">
            <v>46993</v>
          </cell>
          <cell r="H168">
            <v>38080</v>
          </cell>
          <cell r="I168">
            <v>36040</v>
          </cell>
          <cell r="J168">
            <v>15900</v>
          </cell>
          <cell r="K168">
            <v>14832</v>
          </cell>
          <cell r="L168">
            <v>3204</v>
          </cell>
          <cell r="O168">
            <v>1546</v>
          </cell>
        </row>
        <row r="169">
          <cell r="B169">
            <v>32</v>
          </cell>
          <cell r="E169" t="str">
            <v>Остаток на начало недели</v>
          </cell>
          <cell r="F169">
            <v>3882</v>
          </cell>
          <cell r="G169">
            <v>46993</v>
          </cell>
          <cell r="H169">
            <v>38080</v>
          </cell>
          <cell r="I169">
            <v>36040</v>
          </cell>
          <cell r="J169">
            <v>15900</v>
          </cell>
          <cell r="K169">
            <v>14832</v>
          </cell>
          <cell r="L169">
            <v>3204</v>
          </cell>
          <cell r="O169">
            <v>1546</v>
          </cell>
        </row>
        <row r="170">
          <cell r="B170">
            <v>32</v>
          </cell>
          <cell r="E170" t="str">
            <v>Расход на складе</v>
          </cell>
          <cell r="F170">
            <v>1722</v>
          </cell>
          <cell r="G170">
            <v>2714</v>
          </cell>
          <cell r="H170">
            <v>2906</v>
          </cell>
          <cell r="I170">
            <v>3412</v>
          </cell>
          <cell r="J170">
            <v>620</v>
          </cell>
          <cell r="K170">
            <v>1368</v>
          </cell>
          <cell r="L170">
            <v>0</v>
          </cell>
          <cell r="O170">
            <v>749</v>
          </cell>
        </row>
        <row r="171">
          <cell r="B171">
            <v>32</v>
          </cell>
          <cell r="E171" t="str">
            <v xml:space="preserve">Отгрузка в магазин </v>
          </cell>
        </row>
        <row r="172">
          <cell r="B172">
            <v>32</v>
          </cell>
          <cell r="E172" t="str">
            <v>Приход в течение недели</v>
          </cell>
        </row>
        <row r="173">
          <cell r="B173">
            <v>32</v>
          </cell>
          <cell r="E173" t="str">
            <v>Итог на конец недели</v>
          </cell>
          <cell r="F173">
            <v>2160</v>
          </cell>
          <cell r="G173">
            <v>44279</v>
          </cell>
          <cell r="H173">
            <v>35174</v>
          </cell>
          <cell r="I173">
            <v>32628</v>
          </cell>
          <cell r="J173">
            <v>15280</v>
          </cell>
          <cell r="K173">
            <v>13464</v>
          </cell>
          <cell r="L173">
            <v>3204</v>
          </cell>
          <cell r="O173">
            <v>797</v>
          </cell>
        </row>
        <row r="174">
          <cell r="B174">
            <v>33</v>
          </cell>
          <cell r="E174" t="str">
            <v>Остаток на начало недели</v>
          </cell>
          <cell r="F174">
            <v>2160</v>
          </cell>
          <cell r="G174">
            <v>44279</v>
          </cell>
          <cell r="H174">
            <v>35174</v>
          </cell>
          <cell r="I174">
            <v>32628</v>
          </cell>
          <cell r="J174">
            <v>15280</v>
          </cell>
          <cell r="K174">
            <v>13464</v>
          </cell>
          <cell r="L174">
            <v>3204</v>
          </cell>
          <cell r="O174">
            <v>797</v>
          </cell>
        </row>
        <row r="175">
          <cell r="B175">
            <v>33</v>
          </cell>
          <cell r="E175" t="str">
            <v>Расход на складе</v>
          </cell>
          <cell r="F175">
            <v>360</v>
          </cell>
          <cell r="G175">
            <v>2164</v>
          </cell>
          <cell r="H175">
            <v>954</v>
          </cell>
          <cell r="I175">
            <v>3526</v>
          </cell>
          <cell r="J175">
            <v>220</v>
          </cell>
          <cell r="K175">
            <v>1632</v>
          </cell>
          <cell r="L175">
            <v>0</v>
          </cell>
          <cell r="O175">
            <v>136</v>
          </cell>
        </row>
        <row r="176">
          <cell r="B176">
            <v>33</v>
          </cell>
          <cell r="E176" t="str">
            <v xml:space="preserve">Отгрузка в магазин </v>
          </cell>
        </row>
        <row r="177">
          <cell r="B177">
            <v>33</v>
          </cell>
          <cell r="E177" t="str">
            <v>Приход в течение недели</v>
          </cell>
        </row>
        <row r="178">
          <cell r="B178">
            <v>33</v>
          </cell>
          <cell r="E178" t="str">
            <v>Итог на конец недели</v>
          </cell>
          <cell r="F178">
            <v>1800</v>
          </cell>
          <cell r="G178">
            <v>42115</v>
          </cell>
          <cell r="H178">
            <v>34220</v>
          </cell>
          <cell r="I178">
            <v>29102</v>
          </cell>
          <cell r="J178">
            <v>15060</v>
          </cell>
          <cell r="K178">
            <v>11832</v>
          </cell>
          <cell r="L178">
            <v>3204</v>
          </cell>
          <cell r="O178">
            <v>661</v>
          </cell>
        </row>
        <row r="179">
          <cell r="B179">
            <v>34</v>
          </cell>
          <cell r="E179" t="str">
            <v>Остаток на начало недели</v>
          </cell>
          <cell r="F179">
            <v>1800</v>
          </cell>
          <cell r="G179">
            <v>42115</v>
          </cell>
          <cell r="H179">
            <v>34220</v>
          </cell>
          <cell r="I179">
            <v>29102</v>
          </cell>
          <cell r="J179">
            <v>15060</v>
          </cell>
          <cell r="K179">
            <v>11832</v>
          </cell>
          <cell r="L179">
            <v>3204</v>
          </cell>
          <cell r="O179">
            <v>661</v>
          </cell>
        </row>
        <row r="180">
          <cell r="B180">
            <v>34</v>
          </cell>
          <cell r="E180" t="str">
            <v>Расход на складе</v>
          </cell>
          <cell r="F180">
            <v>360</v>
          </cell>
          <cell r="G180">
            <v>2335</v>
          </cell>
          <cell r="H180">
            <v>865</v>
          </cell>
          <cell r="I180">
            <v>2198</v>
          </cell>
          <cell r="J180">
            <v>0</v>
          </cell>
          <cell r="K180">
            <v>1731</v>
          </cell>
          <cell r="L180">
            <v>0</v>
          </cell>
          <cell r="O180">
            <v>142</v>
          </cell>
        </row>
        <row r="181">
          <cell r="B181">
            <v>34</v>
          </cell>
          <cell r="E181" t="str">
            <v xml:space="preserve">Отгрузка в магазин </v>
          </cell>
        </row>
        <row r="182">
          <cell r="B182">
            <v>34</v>
          </cell>
          <cell r="E182" t="str">
            <v>Приход в течение недели</v>
          </cell>
        </row>
        <row r="183">
          <cell r="B183">
            <v>34</v>
          </cell>
          <cell r="E183" t="str">
            <v>Итог на конец недели</v>
          </cell>
          <cell r="F183">
            <v>1440</v>
          </cell>
          <cell r="G183">
            <v>39780</v>
          </cell>
          <cell r="H183">
            <v>33355</v>
          </cell>
          <cell r="I183">
            <v>26904</v>
          </cell>
          <cell r="J183">
            <v>15060</v>
          </cell>
          <cell r="K183">
            <v>10101</v>
          </cell>
          <cell r="L183">
            <v>3204</v>
          </cell>
          <cell r="O183">
            <v>519</v>
          </cell>
        </row>
        <row r="184">
          <cell r="B184">
            <v>35</v>
          </cell>
          <cell r="E184" t="str">
            <v>Остаток на начало недели</v>
          </cell>
          <cell r="F184">
            <v>1440</v>
          </cell>
          <cell r="G184">
            <v>39780</v>
          </cell>
          <cell r="H184">
            <v>33355</v>
          </cell>
          <cell r="I184">
            <v>26904</v>
          </cell>
          <cell r="J184">
            <v>15060</v>
          </cell>
          <cell r="K184">
            <v>10101</v>
          </cell>
          <cell r="L184">
            <v>3204</v>
          </cell>
          <cell r="O184">
            <v>519</v>
          </cell>
        </row>
        <row r="185">
          <cell r="B185">
            <v>35</v>
          </cell>
          <cell r="E185" t="str">
            <v>Расход на складе</v>
          </cell>
          <cell r="F185">
            <v>1320</v>
          </cell>
          <cell r="G185">
            <v>2706</v>
          </cell>
          <cell r="H185">
            <v>2555</v>
          </cell>
          <cell r="I185">
            <v>11992</v>
          </cell>
          <cell r="J185">
            <v>0</v>
          </cell>
          <cell r="K185">
            <v>1557</v>
          </cell>
          <cell r="L185">
            <v>0</v>
          </cell>
          <cell r="O185">
            <v>148</v>
          </cell>
        </row>
        <row r="186">
          <cell r="B186">
            <v>35</v>
          </cell>
          <cell r="E186" t="str">
            <v xml:space="preserve">Отгрузка в магазин </v>
          </cell>
        </row>
        <row r="187">
          <cell r="B187">
            <v>35</v>
          </cell>
          <cell r="E187" t="str">
            <v>Приход в течение недели</v>
          </cell>
          <cell r="F187">
            <v>15840</v>
          </cell>
          <cell r="G187">
            <v>8960</v>
          </cell>
          <cell r="H187">
            <v>18480</v>
          </cell>
        </row>
        <row r="188">
          <cell r="B188">
            <v>35</v>
          </cell>
          <cell r="E188" t="str">
            <v>Итог на конец недели</v>
          </cell>
          <cell r="F188">
            <v>15960</v>
          </cell>
          <cell r="G188">
            <v>46034</v>
          </cell>
          <cell r="H188">
            <v>49280</v>
          </cell>
          <cell r="I188">
            <v>14912</v>
          </cell>
          <cell r="J188">
            <v>15060</v>
          </cell>
          <cell r="K188">
            <v>8544</v>
          </cell>
          <cell r="L188">
            <v>3204</v>
          </cell>
          <cell r="O188">
            <v>371</v>
          </cell>
        </row>
        <row r="189">
          <cell r="B189">
            <v>36</v>
          </cell>
          <cell r="E189" t="str">
            <v>Остаток на начало недели</v>
          </cell>
          <cell r="F189">
            <v>15960</v>
          </cell>
          <cell r="G189">
            <v>46034</v>
          </cell>
          <cell r="H189">
            <v>49280</v>
          </cell>
          <cell r="I189">
            <v>14912</v>
          </cell>
          <cell r="J189">
            <v>15060</v>
          </cell>
          <cell r="K189">
            <v>8544</v>
          </cell>
          <cell r="L189">
            <v>3204</v>
          </cell>
          <cell r="O189">
            <v>371</v>
          </cell>
        </row>
        <row r="190">
          <cell r="B190">
            <v>36</v>
          </cell>
          <cell r="E190" t="str">
            <v>Расход на складе</v>
          </cell>
          <cell r="F190">
            <v>720</v>
          </cell>
          <cell r="G190">
            <v>4234</v>
          </cell>
          <cell r="H190">
            <v>3920</v>
          </cell>
          <cell r="I190">
            <v>2584</v>
          </cell>
          <cell r="K190">
            <v>2058</v>
          </cell>
          <cell r="L190">
            <v>0</v>
          </cell>
          <cell r="O190">
            <v>106</v>
          </cell>
        </row>
        <row r="191">
          <cell r="B191">
            <v>36</v>
          </cell>
          <cell r="E191" t="str">
            <v xml:space="preserve">Отгрузка в магазин </v>
          </cell>
        </row>
        <row r="192">
          <cell r="B192">
            <v>36</v>
          </cell>
          <cell r="E192" t="str">
            <v>Приход в течение недели</v>
          </cell>
        </row>
        <row r="193">
          <cell r="B193">
            <v>36</v>
          </cell>
          <cell r="E193" t="str">
            <v>Итог на конец недели</v>
          </cell>
          <cell r="F193">
            <v>15240</v>
          </cell>
          <cell r="G193">
            <v>41800</v>
          </cell>
          <cell r="H193">
            <v>45360</v>
          </cell>
          <cell r="I193">
            <v>12328</v>
          </cell>
          <cell r="J193">
            <v>15060</v>
          </cell>
          <cell r="K193">
            <v>6486</v>
          </cell>
          <cell r="L193">
            <v>3204</v>
          </cell>
          <cell r="O193">
            <v>265</v>
          </cell>
        </row>
        <row r="194">
          <cell r="B194">
            <v>37</v>
          </cell>
          <cell r="E194" t="str">
            <v>Остаток на начало недели</v>
          </cell>
          <cell r="F194">
            <v>15240</v>
          </cell>
          <cell r="G194">
            <v>41800</v>
          </cell>
          <cell r="H194">
            <v>45360</v>
          </cell>
          <cell r="I194">
            <v>12328</v>
          </cell>
          <cell r="J194">
            <v>15060</v>
          </cell>
          <cell r="K194">
            <v>6486</v>
          </cell>
          <cell r="L194">
            <v>3204</v>
          </cell>
          <cell r="O194">
            <v>265</v>
          </cell>
        </row>
        <row r="195">
          <cell r="B195">
            <v>37</v>
          </cell>
          <cell r="E195" t="str">
            <v>Расход на складе</v>
          </cell>
          <cell r="F195">
            <v>600</v>
          </cell>
          <cell r="G195">
            <v>3630</v>
          </cell>
          <cell r="H195">
            <v>1680</v>
          </cell>
          <cell r="I195">
            <v>2240</v>
          </cell>
          <cell r="J195">
            <v>410</v>
          </cell>
          <cell r="K195">
            <v>910</v>
          </cell>
          <cell r="L195">
            <v>0</v>
          </cell>
          <cell r="O195">
            <v>98</v>
          </cell>
        </row>
        <row r="196">
          <cell r="B196">
            <v>37</v>
          </cell>
          <cell r="E196" t="str">
            <v xml:space="preserve">Отгрузка в магазин </v>
          </cell>
          <cell r="G196">
            <v>220</v>
          </cell>
        </row>
        <row r="197">
          <cell r="B197">
            <v>37</v>
          </cell>
          <cell r="E197" t="str">
            <v>Приход в течение недели</v>
          </cell>
        </row>
        <row r="198">
          <cell r="B198">
            <v>37</v>
          </cell>
          <cell r="E198" t="str">
            <v>Итог на конец недели</v>
          </cell>
          <cell r="F198">
            <v>14640</v>
          </cell>
          <cell r="G198">
            <v>37950</v>
          </cell>
          <cell r="H198">
            <v>43680</v>
          </cell>
          <cell r="I198">
            <v>10088</v>
          </cell>
          <cell r="J198">
            <v>14650</v>
          </cell>
          <cell r="K198">
            <v>5576</v>
          </cell>
          <cell r="L198">
            <v>3204</v>
          </cell>
          <cell r="O198">
            <v>2418</v>
          </cell>
        </row>
        <row r="199">
          <cell r="B199">
            <v>38</v>
          </cell>
          <cell r="E199" t="str">
            <v>Остаток на начало недели</v>
          </cell>
          <cell r="F199">
            <v>14640</v>
          </cell>
          <cell r="G199">
            <v>37950</v>
          </cell>
          <cell r="H199">
            <v>43680</v>
          </cell>
          <cell r="I199">
            <v>10088</v>
          </cell>
          <cell r="J199">
            <v>14650</v>
          </cell>
          <cell r="K199">
            <v>5576</v>
          </cell>
          <cell r="L199">
            <v>3204</v>
          </cell>
          <cell r="O199">
            <v>2418</v>
          </cell>
        </row>
        <row r="200">
          <cell r="B200">
            <v>38</v>
          </cell>
          <cell r="E200" t="str">
            <v>Расход на складе</v>
          </cell>
          <cell r="F200">
            <v>462</v>
          </cell>
          <cell r="G200">
            <v>3025</v>
          </cell>
          <cell r="H200">
            <v>1120</v>
          </cell>
          <cell r="I200">
            <v>2928</v>
          </cell>
          <cell r="J200">
            <v>300</v>
          </cell>
          <cell r="K200">
            <v>440</v>
          </cell>
          <cell r="L200">
            <v>0</v>
          </cell>
          <cell r="O200">
            <v>36</v>
          </cell>
        </row>
        <row r="201">
          <cell r="B201">
            <v>38</v>
          </cell>
          <cell r="E201" t="str">
            <v xml:space="preserve">Отгрузка в магазин </v>
          </cell>
        </row>
        <row r="202">
          <cell r="B202">
            <v>38</v>
          </cell>
          <cell r="E202" t="str">
            <v>Приход в течение недели</v>
          </cell>
          <cell r="G202">
            <v>2100</v>
          </cell>
          <cell r="I202">
            <v>14000</v>
          </cell>
          <cell r="K202">
            <v>20040</v>
          </cell>
          <cell r="O202">
            <v>1002</v>
          </cell>
        </row>
        <row r="203">
          <cell r="B203">
            <v>38</v>
          </cell>
          <cell r="E203" t="str">
            <v>Итог на конец недели</v>
          </cell>
          <cell r="F203">
            <v>14178</v>
          </cell>
          <cell r="G203">
            <v>37025</v>
          </cell>
          <cell r="H203">
            <v>42560</v>
          </cell>
          <cell r="I203">
            <v>21160</v>
          </cell>
          <cell r="J203">
            <v>14350</v>
          </cell>
          <cell r="K203">
            <v>25176</v>
          </cell>
          <cell r="L203">
            <v>3204</v>
          </cell>
          <cell r="O203">
            <v>3384</v>
          </cell>
        </row>
        <row r="204">
          <cell r="B204">
            <v>39</v>
          </cell>
          <cell r="E204" t="str">
            <v>Остаток на начало недели</v>
          </cell>
          <cell r="F204">
            <v>14178</v>
          </cell>
          <cell r="G204">
            <v>37025</v>
          </cell>
          <cell r="H204">
            <v>42560</v>
          </cell>
          <cell r="I204">
            <v>21160</v>
          </cell>
          <cell r="J204">
            <v>14350</v>
          </cell>
          <cell r="K204">
            <v>25176</v>
          </cell>
          <cell r="L204">
            <v>3204</v>
          </cell>
          <cell r="O204">
            <v>3384</v>
          </cell>
        </row>
        <row r="205">
          <cell r="B205">
            <v>39</v>
          </cell>
          <cell r="E205" t="str">
            <v>Расход на складе</v>
          </cell>
          <cell r="F205">
            <v>302</v>
          </cell>
          <cell r="G205">
            <v>2957</v>
          </cell>
          <cell r="H205">
            <v>1069</v>
          </cell>
          <cell r="I205">
            <v>2495</v>
          </cell>
          <cell r="J205">
            <v>284</v>
          </cell>
          <cell r="K205">
            <v>528</v>
          </cell>
          <cell r="L205">
            <v>0</v>
          </cell>
          <cell r="O205">
            <v>12</v>
          </cell>
        </row>
        <row r="206">
          <cell r="B206">
            <v>39</v>
          </cell>
          <cell r="E206" t="str">
            <v xml:space="preserve">Отгрузка в магазин </v>
          </cell>
        </row>
        <row r="207">
          <cell r="B207">
            <v>39</v>
          </cell>
          <cell r="E207" t="str">
            <v>Приход в течение недели</v>
          </cell>
          <cell r="I207">
            <v>16060</v>
          </cell>
        </row>
        <row r="208">
          <cell r="B208">
            <v>39</v>
          </cell>
          <cell r="E208" t="str">
            <v>Итог на конец недели</v>
          </cell>
          <cell r="F208">
            <v>13876</v>
          </cell>
          <cell r="G208">
            <v>34068</v>
          </cell>
          <cell r="H208">
            <v>41491</v>
          </cell>
          <cell r="I208">
            <v>34725</v>
          </cell>
          <cell r="J208">
            <v>14066</v>
          </cell>
          <cell r="K208">
            <v>24648</v>
          </cell>
          <cell r="L208">
            <v>3204</v>
          </cell>
          <cell r="O208">
            <v>3372</v>
          </cell>
        </row>
        <row r="209">
          <cell r="B209">
            <v>40</v>
          </cell>
          <cell r="E209" t="str">
            <v>Остаток на начало недели</v>
          </cell>
          <cell r="F209">
            <v>13876</v>
          </cell>
          <cell r="G209">
            <v>34068</v>
          </cell>
          <cell r="H209">
            <v>41491</v>
          </cell>
          <cell r="I209">
            <v>34725</v>
          </cell>
          <cell r="J209">
            <v>14066</v>
          </cell>
          <cell r="K209">
            <v>24648</v>
          </cell>
          <cell r="L209">
            <v>3204</v>
          </cell>
          <cell r="O209">
            <v>3372</v>
          </cell>
        </row>
        <row r="210">
          <cell r="B210">
            <v>40</v>
          </cell>
          <cell r="E210" t="str">
            <v>Расход на складе</v>
          </cell>
          <cell r="F210">
            <v>418</v>
          </cell>
          <cell r="G210">
            <v>1998</v>
          </cell>
          <cell r="H210">
            <v>1403</v>
          </cell>
          <cell r="I210">
            <v>2010</v>
          </cell>
          <cell r="J210">
            <v>240</v>
          </cell>
          <cell r="K210">
            <v>126</v>
          </cell>
          <cell r="L210">
            <v>0</v>
          </cell>
          <cell r="O210">
            <v>8</v>
          </cell>
        </row>
        <row r="211">
          <cell r="B211">
            <v>40</v>
          </cell>
          <cell r="E211" t="str">
            <v xml:space="preserve">Отгрузка в магазин </v>
          </cell>
        </row>
        <row r="212">
          <cell r="B212">
            <v>40</v>
          </cell>
          <cell r="E212" t="str">
            <v>Приход в течение недели</v>
          </cell>
        </row>
        <row r="213">
          <cell r="B213">
            <v>40</v>
          </cell>
          <cell r="E213" t="str">
            <v>Итог на конец недели</v>
          </cell>
          <cell r="F213">
            <v>13458</v>
          </cell>
          <cell r="G213">
            <v>32070</v>
          </cell>
          <cell r="H213">
            <v>40088</v>
          </cell>
          <cell r="I213">
            <v>32715</v>
          </cell>
          <cell r="J213">
            <v>13826</v>
          </cell>
          <cell r="K213">
            <v>24522</v>
          </cell>
          <cell r="L213">
            <v>3204</v>
          </cell>
          <cell r="O213">
            <v>3364</v>
          </cell>
        </row>
        <row r="214">
          <cell r="B214">
            <v>41</v>
          </cell>
          <cell r="E214" t="str">
            <v>Остаток на начало недели</v>
          </cell>
          <cell r="F214">
            <v>13458</v>
          </cell>
          <cell r="G214">
            <v>32070</v>
          </cell>
          <cell r="H214">
            <v>40088</v>
          </cell>
          <cell r="I214">
            <v>32715</v>
          </cell>
          <cell r="J214">
            <v>13826</v>
          </cell>
          <cell r="K214">
            <v>24522</v>
          </cell>
          <cell r="L214">
            <v>3204</v>
          </cell>
          <cell r="O214">
            <v>3364</v>
          </cell>
        </row>
        <row r="215">
          <cell r="B215">
            <v>41</v>
          </cell>
          <cell r="E215" t="str">
            <v>Расход на складе</v>
          </cell>
          <cell r="F215">
            <v>241</v>
          </cell>
          <cell r="G215">
            <v>2246</v>
          </cell>
          <cell r="H215">
            <v>1487</v>
          </cell>
          <cell r="I215">
            <v>2765</v>
          </cell>
          <cell r="J215">
            <v>100</v>
          </cell>
          <cell r="K215">
            <v>1218</v>
          </cell>
          <cell r="L215">
            <v>0</v>
          </cell>
          <cell r="O215">
            <v>9</v>
          </cell>
        </row>
        <row r="216">
          <cell r="B216">
            <v>41</v>
          </cell>
          <cell r="E216" t="str">
            <v xml:space="preserve">Отгрузка в магазин </v>
          </cell>
        </row>
        <row r="217">
          <cell r="B217">
            <v>41</v>
          </cell>
          <cell r="E217" t="str">
            <v>Приход в течение недели</v>
          </cell>
        </row>
        <row r="218">
          <cell r="B218">
            <v>41</v>
          </cell>
          <cell r="E218" t="str">
            <v>Итог на конец недели</v>
          </cell>
          <cell r="F218">
            <v>13217</v>
          </cell>
          <cell r="G218">
            <v>29824</v>
          </cell>
          <cell r="H218">
            <v>38601</v>
          </cell>
          <cell r="I218">
            <v>29950</v>
          </cell>
          <cell r="J218">
            <v>13726</v>
          </cell>
          <cell r="K218">
            <v>23304</v>
          </cell>
          <cell r="L218">
            <v>3204</v>
          </cell>
          <cell r="O218">
            <v>3355</v>
          </cell>
        </row>
        <row r="219">
          <cell r="B219">
            <v>42</v>
          </cell>
          <cell r="E219" t="str">
            <v>Остаток на начало недели</v>
          </cell>
          <cell r="F219">
            <v>13217</v>
          </cell>
          <cell r="G219">
            <v>29824</v>
          </cell>
          <cell r="H219">
            <v>38601</v>
          </cell>
          <cell r="I219">
            <v>29950</v>
          </cell>
          <cell r="J219">
            <v>13726</v>
          </cell>
          <cell r="K219">
            <v>23304</v>
          </cell>
          <cell r="L219">
            <v>3204</v>
          </cell>
          <cell r="O219">
            <v>3355</v>
          </cell>
        </row>
        <row r="220">
          <cell r="B220">
            <v>42</v>
          </cell>
          <cell r="E220" t="str">
            <v>Расход на складе</v>
          </cell>
          <cell r="F220">
            <v>147</v>
          </cell>
          <cell r="G220">
            <v>1925</v>
          </cell>
          <cell r="H220">
            <v>560</v>
          </cell>
          <cell r="I220">
            <v>560</v>
          </cell>
          <cell r="J220">
            <v>67</v>
          </cell>
          <cell r="K220">
            <v>987</v>
          </cell>
          <cell r="L220">
            <v>0</v>
          </cell>
          <cell r="O220">
            <v>15</v>
          </cell>
        </row>
        <row r="221">
          <cell r="B221">
            <v>42</v>
          </cell>
          <cell r="E221" t="str">
            <v xml:space="preserve">Отгрузка в магазин </v>
          </cell>
        </row>
        <row r="222">
          <cell r="B222">
            <v>42</v>
          </cell>
          <cell r="E222" t="str">
            <v>Приход в течение недели</v>
          </cell>
          <cell r="G222">
            <v>2240</v>
          </cell>
          <cell r="I222">
            <v>14000</v>
          </cell>
        </row>
        <row r="223">
          <cell r="B223">
            <v>42</v>
          </cell>
          <cell r="E223" t="str">
            <v>Итог на конец недели</v>
          </cell>
          <cell r="F223">
            <v>13070</v>
          </cell>
          <cell r="G223">
            <v>30139</v>
          </cell>
          <cell r="H223">
            <v>38041</v>
          </cell>
          <cell r="I223">
            <v>43390</v>
          </cell>
          <cell r="J223">
            <v>13659</v>
          </cell>
          <cell r="K223">
            <v>22317</v>
          </cell>
          <cell r="L223">
            <v>3204</v>
          </cell>
          <cell r="O223">
            <v>3340</v>
          </cell>
        </row>
        <row r="224">
          <cell r="B224">
            <v>43</v>
          </cell>
          <cell r="E224" t="str">
            <v>Остаток на начало недели</v>
          </cell>
          <cell r="F224">
            <v>13070</v>
          </cell>
          <cell r="G224">
            <v>30139</v>
          </cell>
          <cell r="H224">
            <v>38041</v>
          </cell>
          <cell r="I224">
            <v>43390</v>
          </cell>
          <cell r="J224">
            <v>13659</v>
          </cell>
          <cell r="K224">
            <v>22317</v>
          </cell>
          <cell r="L224">
            <v>3204</v>
          </cell>
          <cell r="O224">
            <v>3340</v>
          </cell>
        </row>
        <row r="225">
          <cell r="B225">
            <v>43</v>
          </cell>
          <cell r="E225" t="str">
            <v>Расход на складе</v>
          </cell>
        </row>
        <row r="226">
          <cell r="B226">
            <v>43</v>
          </cell>
          <cell r="E226" t="str">
            <v xml:space="preserve">Отгрузка в магазин </v>
          </cell>
        </row>
        <row r="227">
          <cell r="B227">
            <v>43</v>
          </cell>
          <cell r="E227" t="str">
            <v>Приход в течение недели</v>
          </cell>
        </row>
        <row r="228">
          <cell r="B228">
            <v>43</v>
          </cell>
          <cell r="E228" t="str">
            <v>Итог на конец недели</v>
          </cell>
        </row>
        <row r="229">
          <cell r="B229">
            <v>44</v>
          </cell>
          <cell r="E229" t="str">
            <v>Остаток на начало недели</v>
          </cell>
        </row>
        <row r="230">
          <cell r="B230">
            <v>44</v>
          </cell>
          <cell r="E230" t="str">
            <v>Расход на складе</v>
          </cell>
        </row>
        <row r="231">
          <cell r="B231">
            <v>44</v>
          </cell>
          <cell r="E231" t="str">
            <v xml:space="preserve">Отгрузка в магазин </v>
          </cell>
        </row>
        <row r="232">
          <cell r="B232">
            <v>44</v>
          </cell>
          <cell r="E232" t="str">
            <v>Приход в течение недели</v>
          </cell>
        </row>
        <row r="233">
          <cell r="B233">
            <v>44</v>
          </cell>
          <cell r="E233" t="str">
            <v>Итог на конец недели</v>
          </cell>
        </row>
        <row r="234">
          <cell r="B234">
            <v>45</v>
          </cell>
          <cell r="E234" t="str">
            <v>Остаток на начало недели</v>
          </cell>
        </row>
        <row r="235">
          <cell r="B235">
            <v>45</v>
          </cell>
          <cell r="E235" t="str">
            <v>Расход на складе</v>
          </cell>
        </row>
        <row r="236">
          <cell r="B236">
            <v>45</v>
          </cell>
          <cell r="E236" t="str">
            <v xml:space="preserve">Отгрузка в магазин </v>
          </cell>
        </row>
        <row r="237">
          <cell r="B237">
            <v>45</v>
          </cell>
          <cell r="E237" t="str">
            <v>Приход в течение недели</v>
          </cell>
        </row>
        <row r="238">
          <cell r="B238">
            <v>45</v>
          </cell>
          <cell r="E238" t="str">
            <v>Итог на конец недели</v>
          </cell>
        </row>
        <row r="239">
          <cell r="B239">
            <v>46</v>
          </cell>
          <cell r="E239" t="str">
            <v>Остаток на начало недели</v>
          </cell>
        </row>
        <row r="240">
          <cell r="B240">
            <v>46</v>
          </cell>
          <cell r="E240" t="str">
            <v>Расход на складе</v>
          </cell>
        </row>
        <row r="241">
          <cell r="B241">
            <v>46</v>
          </cell>
          <cell r="E241" t="str">
            <v xml:space="preserve">Отгрузка в магазин </v>
          </cell>
        </row>
        <row r="242">
          <cell r="B242">
            <v>46</v>
          </cell>
          <cell r="E242" t="str">
            <v>Приход в течение недели</v>
          </cell>
        </row>
        <row r="243">
          <cell r="B243">
            <v>46</v>
          </cell>
          <cell r="E243" t="str">
            <v>Итог на конец недели</v>
          </cell>
        </row>
        <row r="244">
          <cell r="B244">
            <v>47</v>
          </cell>
          <cell r="E244" t="str">
            <v>Остаток на начало недели</v>
          </cell>
        </row>
        <row r="245">
          <cell r="B245">
            <v>47</v>
          </cell>
          <cell r="E245" t="str">
            <v>Расход на складе</v>
          </cell>
        </row>
        <row r="246">
          <cell r="B246">
            <v>47</v>
          </cell>
          <cell r="E246" t="str">
            <v xml:space="preserve">Отгрузка в магазин </v>
          </cell>
        </row>
        <row r="247">
          <cell r="B247">
            <v>47</v>
          </cell>
          <cell r="E247" t="str">
            <v>Приход в течение недели</v>
          </cell>
        </row>
        <row r="248">
          <cell r="B248">
            <v>47</v>
          </cell>
          <cell r="E248" t="str">
            <v>Итог на конец недели</v>
          </cell>
        </row>
        <row r="249">
          <cell r="B249">
            <v>48</v>
          </cell>
          <cell r="E249" t="str">
            <v>Остаток на начало недели</v>
          </cell>
        </row>
        <row r="250">
          <cell r="B250">
            <v>48</v>
          </cell>
          <cell r="E250" t="str">
            <v>Расход на складе</v>
          </cell>
        </row>
        <row r="251">
          <cell r="B251">
            <v>48</v>
          </cell>
          <cell r="E251" t="str">
            <v xml:space="preserve">Отгрузка в магазин </v>
          </cell>
        </row>
        <row r="252">
          <cell r="B252">
            <v>48</v>
          </cell>
          <cell r="E252" t="str">
            <v>Приход в течение недели</v>
          </cell>
        </row>
        <row r="253">
          <cell r="B253">
            <v>48</v>
          </cell>
          <cell r="E253" t="str">
            <v>Итог на конец недели</v>
          </cell>
        </row>
        <row r="254">
          <cell r="B254">
            <v>49</v>
          </cell>
          <cell r="E254" t="str">
            <v>Остаток на начало недели</v>
          </cell>
        </row>
        <row r="255">
          <cell r="B255">
            <v>49</v>
          </cell>
          <cell r="E255" t="str">
            <v>Расход на складе</v>
          </cell>
        </row>
        <row r="256">
          <cell r="B256">
            <v>49</v>
          </cell>
          <cell r="E256" t="str">
            <v xml:space="preserve">Отгрузка в магазин </v>
          </cell>
        </row>
        <row r="257">
          <cell r="B257">
            <v>49</v>
          </cell>
          <cell r="E257" t="str">
            <v>Приход в течение недели</v>
          </cell>
        </row>
        <row r="258">
          <cell r="B258">
            <v>49</v>
          </cell>
          <cell r="E258" t="str">
            <v>Итог на конец недели</v>
          </cell>
        </row>
        <row r="259">
          <cell r="B259">
            <v>50</v>
          </cell>
          <cell r="E259" t="str">
            <v>Остаток на начало недели</v>
          </cell>
        </row>
        <row r="260">
          <cell r="B260">
            <v>50</v>
          </cell>
          <cell r="E260" t="str">
            <v>Расход на складе</v>
          </cell>
        </row>
        <row r="261">
          <cell r="B261">
            <v>50</v>
          </cell>
          <cell r="E261" t="str">
            <v xml:space="preserve">Отгрузка в магазин </v>
          </cell>
        </row>
        <row r="262">
          <cell r="B262">
            <v>50</v>
          </cell>
          <cell r="E262" t="str">
            <v>Приход в течение недели</v>
          </cell>
        </row>
        <row r="263">
          <cell r="B263">
            <v>50</v>
          </cell>
          <cell r="E263" t="str">
            <v>Итог на конец недели</v>
          </cell>
        </row>
        <row r="264">
          <cell r="B264">
            <v>51</v>
          </cell>
          <cell r="E264" t="str">
            <v>Остаток на начало недели</v>
          </cell>
        </row>
        <row r="265">
          <cell r="B265">
            <v>51</v>
          </cell>
          <cell r="E265" t="str">
            <v>Расход на складе</v>
          </cell>
        </row>
        <row r="266">
          <cell r="B266">
            <v>51</v>
          </cell>
          <cell r="E266" t="str">
            <v xml:space="preserve">Отгрузка в магазин </v>
          </cell>
        </row>
        <row r="267">
          <cell r="B267">
            <v>51</v>
          </cell>
          <cell r="E267" t="str">
            <v>Приход в течение недели</v>
          </cell>
        </row>
        <row r="268">
          <cell r="B268">
            <v>51</v>
          </cell>
          <cell r="E268" t="str">
            <v>Итог на конец недели</v>
          </cell>
        </row>
        <row r="269">
          <cell r="B269">
            <v>52</v>
          </cell>
          <cell r="E269" t="str">
            <v>Остаток на начало недели</v>
          </cell>
        </row>
        <row r="270">
          <cell r="B270">
            <v>52</v>
          </cell>
          <cell r="E270" t="str">
            <v>Расход на складе</v>
          </cell>
        </row>
        <row r="271">
          <cell r="B271">
            <v>52</v>
          </cell>
          <cell r="E271" t="str">
            <v xml:space="preserve">Отгрузка в магазин </v>
          </cell>
        </row>
        <row r="272">
          <cell r="B272">
            <v>52</v>
          </cell>
          <cell r="E272" t="str">
            <v>Приход в течение недели</v>
          </cell>
        </row>
        <row r="273">
          <cell r="B273">
            <v>52</v>
          </cell>
          <cell r="E273" t="str">
            <v>Итог на конец недели</v>
          </cell>
        </row>
        <row r="274">
          <cell r="B274">
            <v>53</v>
          </cell>
          <cell r="E274" t="str">
            <v>Остаток на начало недели</v>
          </cell>
        </row>
        <row r="275">
          <cell r="B275">
            <v>53</v>
          </cell>
          <cell r="E275" t="str">
            <v>Расход на складе</v>
          </cell>
        </row>
        <row r="276">
          <cell r="B276">
            <v>53</v>
          </cell>
          <cell r="E276" t="str">
            <v xml:space="preserve">Отгрузка в магазин </v>
          </cell>
        </row>
        <row r="277">
          <cell r="B277">
            <v>53</v>
          </cell>
          <cell r="E277" t="str">
            <v>Приход в течение недели</v>
          </cell>
        </row>
        <row r="278">
          <cell r="B278">
            <v>53</v>
          </cell>
          <cell r="E278" t="str">
            <v>Итог на конец недели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B908-98A6-4F30-9E63-9ADA7823917D}">
  <dimension ref="A1:J54"/>
  <sheetViews>
    <sheetView workbookViewId="0">
      <selection activeCell="K20" sqref="K20"/>
    </sheetView>
  </sheetViews>
  <sheetFormatPr defaultRowHeight="15" x14ac:dyDescent="0.25"/>
  <sheetData>
    <row r="1" spans="1:10" ht="51" x14ac:dyDescent="0.25">
      <c r="A1" s="13" t="s">
        <v>3</v>
      </c>
      <c r="B1" s="14" t="s">
        <v>4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9</v>
      </c>
      <c r="H1" s="2" t="s">
        <v>10</v>
      </c>
      <c r="I1" s="3" t="s">
        <v>11</v>
      </c>
      <c r="J1" s="11" t="s">
        <v>12</v>
      </c>
    </row>
    <row r="2" spans="1:10" x14ac:dyDescent="0.25">
      <c r="A2" s="15">
        <v>1</v>
      </c>
      <c r="B2" s="16">
        <v>1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13</v>
      </c>
      <c r="I2" s="5" t="s">
        <v>13</v>
      </c>
      <c r="J2" s="5" t="s">
        <v>13</v>
      </c>
    </row>
    <row r="3" spans="1:10" x14ac:dyDescent="0.25">
      <c r="A3" s="15">
        <v>2</v>
      </c>
      <c r="B3" s="16">
        <v>1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13</v>
      </c>
    </row>
    <row r="4" spans="1:10" x14ac:dyDescent="0.25">
      <c r="A4" s="15">
        <v>3</v>
      </c>
      <c r="B4" s="16">
        <v>1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</row>
    <row r="5" spans="1:10" x14ac:dyDescent="0.25">
      <c r="A5" s="15">
        <v>4</v>
      </c>
      <c r="B5" s="16">
        <v>1</v>
      </c>
      <c r="C5" s="5" t="s">
        <v>13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</row>
    <row r="6" spans="1:10" x14ac:dyDescent="0.25">
      <c r="A6" s="15">
        <v>5</v>
      </c>
      <c r="B6" s="16">
        <v>1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1:10" x14ac:dyDescent="0.25">
      <c r="A7" s="15">
        <v>6</v>
      </c>
      <c r="B7" s="16">
        <v>2</v>
      </c>
      <c r="C7" s="5" t="s">
        <v>13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 t="s">
        <v>13</v>
      </c>
    </row>
    <row r="8" spans="1:10" x14ac:dyDescent="0.25">
      <c r="A8" s="15">
        <v>7</v>
      </c>
      <c r="B8" s="16">
        <v>2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J8" s="5" t="s">
        <v>13</v>
      </c>
    </row>
    <row r="9" spans="1:10" x14ac:dyDescent="0.25">
      <c r="A9" s="15">
        <v>8</v>
      </c>
      <c r="B9" s="16">
        <v>2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</row>
    <row r="10" spans="1:10" x14ac:dyDescent="0.25">
      <c r="A10" s="15">
        <v>9</v>
      </c>
      <c r="B10" s="16">
        <v>2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13</v>
      </c>
    </row>
    <row r="11" spans="1:10" x14ac:dyDescent="0.25">
      <c r="A11" s="15">
        <v>10</v>
      </c>
      <c r="B11" s="16">
        <v>3</v>
      </c>
      <c r="C11" s="5" t="s">
        <v>13</v>
      </c>
      <c r="D11" s="5" t="s">
        <v>13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  <c r="J11" s="5" t="s">
        <v>13</v>
      </c>
    </row>
    <row r="12" spans="1:10" x14ac:dyDescent="0.25">
      <c r="A12" s="15">
        <v>11</v>
      </c>
      <c r="B12" s="16">
        <v>3</v>
      </c>
      <c r="C12" s="5" t="s">
        <v>13</v>
      </c>
      <c r="D12" s="5" t="s">
        <v>13</v>
      </c>
      <c r="E12" s="5" t="s">
        <v>13</v>
      </c>
      <c r="F12" s="5" t="s">
        <v>13</v>
      </c>
      <c r="G12" s="5" t="s">
        <v>13</v>
      </c>
      <c r="H12" s="5" t="s">
        <v>13</v>
      </c>
      <c r="I12" s="5" t="s">
        <v>13</v>
      </c>
      <c r="J12" s="5" t="s">
        <v>13</v>
      </c>
    </row>
    <row r="13" spans="1:10" x14ac:dyDescent="0.25">
      <c r="A13" s="15">
        <v>12</v>
      </c>
      <c r="B13" s="16">
        <v>3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</row>
    <row r="14" spans="1:10" x14ac:dyDescent="0.25">
      <c r="A14" s="15">
        <v>13</v>
      </c>
      <c r="B14" s="16">
        <v>3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  <c r="I14" s="5" t="s">
        <v>13</v>
      </c>
      <c r="J14" s="5" t="s">
        <v>13</v>
      </c>
    </row>
    <row r="15" spans="1:10" x14ac:dyDescent="0.25">
      <c r="A15" s="15">
        <v>14</v>
      </c>
      <c r="B15" s="16">
        <v>4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  <c r="J15" s="5" t="s">
        <v>13</v>
      </c>
    </row>
    <row r="16" spans="1:10" x14ac:dyDescent="0.25">
      <c r="A16" s="15">
        <v>15</v>
      </c>
      <c r="B16" s="16">
        <v>4</v>
      </c>
      <c r="C16" s="5" t="s">
        <v>13</v>
      </c>
      <c r="D16" s="5" t="s">
        <v>13</v>
      </c>
      <c r="E16" s="5" t="s">
        <v>13</v>
      </c>
      <c r="F16" s="5" t="s">
        <v>13</v>
      </c>
      <c r="G16" s="5" t="s">
        <v>13</v>
      </c>
      <c r="H16" s="5" t="s">
        <v>13</v>
      </c>
      <c r="I16" s="5" t="s">
        <v>13</v>
      </c>
      <c r="J16" s="5" t="s">
        <v>13</v>
      </c>
    </row>
    <row r="17" spans="1:10" x14ac:dyDescent="0.25">
      <c r="A17" s="15">
        <v>16</v>
      </c>
      <c r="B17" s="16">
        <v>4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  <c r="J17" s="5" t="s">
        <v>13</v>
      </c>
    </row>
    <row r="18" spans="1:10" x14ac:dyDescent="0.25">
      <c r="A18" s="15">
        <v>17</v>
      </c>
      <c r="B18" s="16">
        <v>4</v>
      </c>
      <c r="C18" s="5" t="s">
        <v>13</v>
      </c>
      <c r="D18" s="5" t="s">
        <v>13</v>
      </c>
      <c r="E18" s="5" t="s">
        <v>13</v>
      </c>
      <c r="F18" s="5" t="s">
        <v>13</v>
      </c>
      <c r="G18" s="5" t="s">
        <v>13</v>
      </c>
      <c r="H18" s="5" t="s">
        <v>13</v>
      </c>
      <c r="I18" s="5" t="s">
        <v>13</v>
      </c>
      <c r="J18" s="5" t="s">
        <v>13</v>
      </c>
    </row>
    <row r="19" spans="1:10" x14ac:dyDescent="0.25">
      <c r="A19" s="15">
        <v>18</v>
      </c>
      <c r="B19" s="16">
        <v>5</v>
      </c>
      <c r="C19" s="5" t="s">
        <v>13</v>
      </c>
      <c r="D19" s="5" t="s">
        <v>13</v>
      </c>
      <c r="E19" s="5" t="s">
        <v>13</v>
      </c>
      <c r="F19" s="5" t="s">
        <v>13</v>
      </c>
      <c r="G19" s="5" t="s">
        <v>13</v>
      </c>
      <c r="H19" s="5" t="s">
        <v>13</v>
      </c>
      <c r="I19" s="5" t="s">
        <v>13</v>
      </c>
      <c r="J19" s="5" t="s">
        <v>13</v>
      </c>
    </row>
    <row r="20" spans="1:10" x14ac:dyDescent="0.25">
      <c r="A20" s="15">
        <v>19</v>
      </c>
      <c r="B20" s="16">
        <v>5</v>
      </c>
      <c r="C20" s="5" t="s">
        <v>13</v>
      </c>
      <c r="D20" s="5" t="s">
        <v>13</v>
      </c>
      <c r="E20" s="5" t="s">
        <v>13</v>
      </c>
      <c r="F20" s="5" t="s">
        <v>13</v>
      </c>
      <c r="G20" s="5" t="s">
        <v>13</v>
      </c>
      <c r="H20" s="5" t="s">
        <v>13</v>
      </c>
      <c r="I20" s="5" t="s">
        <v>13</v>
      </c>
      <c r="J20" s="5" t="s">
        <v>13</v>
      </c>
    </row>
    <row r="21" spans="1:10" x14ac:dyDescent="0.25">
      <c r="A21" s="15">
        <v>20</v>
      </c>
      <c r="B21" s="16">
        <v>5</v>
      </c>
      <c r="C21" s="5" t="s">
        <v>13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  <c r="I21" s="5" t="s">
        <v>13</v>
      </c>
      <c r="J21" s="5" t="s">
        <v>13</v>
      </c>
    </row>
    <row r="22" spans="1:10" x14ac:dyDescent="0.25">
      <c r="A22" s="15">
        <v>21</v>
      </c>
      <c r="B22" s="16">
        <v>5</v>
      </c>
      <c r="C22" s="5">
        <v>0</v>
      </c>
      <c r="D22" s="5">
        <v>1784</v>
      </c>
      <c r="E22" s="5">
        <v>2080</v>
      </c>
      <c r="F22" s="5">
        <v>1376</v>
      </c>
      <c r="G22" s="5">
        <v>0</v>
      </c>
      <c r="H22" s="5">
        <v>294</v>
      </c>
      <c r="I22" s="5">
        <v>0</v>
      </c>
      <c r="J22" s="12">
        <v>126</v>
      </c>
    </row>
    <row r="23" spans="1:10" x14ac:dyDescent="0.25">
      <c r="A23" s="15">
        <v>22</v>
      </c>
      <c r="B23" s="16">
        <v>5</v>
      </c>
      <c r="C23" s="5">
        <v>0</v>
      </c>
      <c r="D23" s="5">
        <v>1621</v>
      </c>
      <c r="E23" s="5">
        <v>1852</v>
      </c>
      <c r="F23" s="5">
        <v>1122</v>
      </c>
      <c r="G23" s="5">
        <v>0</v>
      </c>
      <c r="H23" s="5">
        <v>211</v>
      </c>
      <c r="I23" s="5">
        <v>0</v>
      </c>
      <c r="J23" s="12">
        <v>132</v>
      </c>
    </row>
    <row r="24" spans="1:10" x14ac:dyDescent="0.25">
      <c r="A24" s="15">
        <v>23</v>
      </c>
      <c r="B24" s="16">
        <v>6</v>
      </c>
      <c r="C24" s="5">
        <v>360</v>
      </c>
      <c r="D24" s="5">
        <v>1723</v>
      </c>
      <c r="E24" s="5">
        <v>1652</v>
      </c>
      <c r="F24" s="5">
        <v>1680</v>
      </c>
      <c r="G24" s="5">
        <v>1723</v>
      </c>
      <c r="H24" s="5">
        <v>203</v>
      </c>
      <c r="I24" s="5">
        <v>0</v>
      </c>
      <c r="J24" s="12">
        <v>126</v>
      </c>
    </row>
    <row r="25" spans="1:10" x14ac:dyDescent="0.25">
      <c r="A25" s="15">
        <v>24</v>
      </c>
      <c r="B25" s="16">
        <v>6</v>
      </c>
      <c r="C25" s="5">
        <v>720</v>
      </c>
      <c r="D25" s="5">
        <v>2712</v>
      </c>
      <c r="E25" s="5">
        <v>2096</v>
      </c>
      <c r="F25" s="5">
        <v>1746</v>
      </c>
      <c r="G25" s="5">
        <v>2712</v>
      </c>
      <c r="H25" s="5">
        <v>309</v>
      </c>
      <c r="I25" s="5">
        <v>0</v>
      </c>
      <c r="J25" s="12">
        <v>98</v>
      </c>
    </row>
    <row r="26" spans="1:10" x14ac:dyDescent="0.25">
      <c r="A26" s="15">
        <v>25</v>
      </c>
      <c r="B26" s="16">
        <v>6</v>
      </c>
      <c r="C26" s="5">
        <v>120</v>
      </c>
      <c r="D26" s="5">
        <v>2498</v>
      </c>
      <c r="E26" s="5">
        <v>2113</v>
      </c>
      <c r="F26" s="5">
        <v>1812</v>
      </c>
      <c r="G26" s="5">
        <v>2498</v>
      </c>
      <c r="H26" s="5">
        <v>316</v>
      </c>
      <c r="I26" s="5">
        <v>0</v>
      </c>
      <c r="J26" s="12">
        <v>86</v>
      </c>
    </row>
    <row r="27" spans="1:10" x14ac:dyDescent="0.25">
      <c r="A27" s="15">
        <v>26</v>
      </c>
      <c r="B27" s="16">
        <v>6</v>
      </c>
      <c r="C27" s="5">
        <v>600</v>
      </c>
      <c r="D27" s="5">
        <v>2369</v>
      </c>
      <c r="E27" s="5">
        <v>2477</v>
      </c>
      <c r="F27" s="5">
        <v>1856</v>
      </c>
      <c r="G27" s="5">
        <v>2369</v>
      </c>
      <c r="H27" s="5">
        <v>302</v>
      </c>
      <c r="I27" s="5">
        <v>0</v>
      </c>
      <c r="J27" s="12">
        <v>84</v>
      </c>
    </row>
    <row r="28" spans="1:10" x14ac:dyDescent="0.25">
      <c r="A28" s="15">
        <v>27</v>
      </c>
      <c r="B28" s="16">
        <v>6</v>
      </c>
      <c r="C28" s="5">
        <v>860</v>
      </c>
      <c r="D28" s="5">
        <v>2465</v>
      </c>
      <c r="E28" s="5">
        <v>2515</v>
      </c>
      <c r="F28" s="5">
        <v>2001</v>
      </c>
      <c r="G28" s="5">
        <v>2465</v>
      </c>
      <c r="H28" s="5">
        <v>1119</v>
      </c>
      <c r="I28" s="5">
        <v>0</v>
      </c>
      <c r="J28" s="12">
        <v>94</v>
      </c>
    </row>
    <row r="29" spans="1:10" x14ac:dyDescent="0.25">
      <c r="A29" s="15">
        <v>28</v>
      </c>
      <c r="B29" s="16">
        <v>7</v>
      </c>
      <c r="C29" s="5">
        <v>1540</v>
      </c>
      <c r="D29" s="5">
        <v>2311</v>
      </c>
      <c r="E29" s="5">
        <v>1560</v>
      </c>
      <c r="F29" s="5">
        <v>2497</v>
      </c>
      <c r="G29" s="5">
        <v>2311</v>
      </c>
      <c r="H29" s="5">
        <v>1234</v>
      </c>
      <c r="I29" s="5">
        <v>0</v>
      </c>
      <c r="J29" s="12">
        <v>101</v>
      </c>
    </row>
    <row r="30" spans="1:10" x14ac:dyDescent="0.25">
      <c r="A30" s="15">
        <v>29</v>
      </c>
      <c r="B30" s="16">
        <v>7</v>
      </c>
      <c r="C30" s="5">
        <v>800</v>
      </c>
      <c r="D30" s="5">
        <v>2465</v>
      </c>
      <c r="E30" s="5">
        <v>1240</v>
      </c>
      <c r="F30" s="5">
        <v>2752</v>
      </c>
      <c r="G30" s="5">
        <v>2465</v>
      </c>
      <c r="H30" s="5">
        <v>2003</v>
      </c>
      <c r="I30" s="5">
        <v>0</v>
      </c>
      <c r="J30" s="12">
        <v>103</v>
      </c>
    </row>
    <row r="31" spans="1:10" x14ac:dyDescent="0.25">
      <c r="A31" s="15">
        <v>30</v>
      </c>
      <c r="B31" s="16">
        <v>7</v>
      </c>
      <c r="C31" s="5">
        <v>1040</v>
      </c>
      <c r="D31" s="5">
        <v>2513</v>
      </c>
      <c r="E31" s="5">
        <v>1120</v>
      </c>
      <c r="F31" s="5">
        <v>2811</v>
      </c>
      <c r="G31" s="5">
        <v>2513</v>
      </c>
      <c r="H31" s="5">
        <v>1998</v>
      </c>
      <c r="I31" s="5">
        <v>0</v>
      </c>
      <c r="J31" s="12">
        <v>105</v>
      </c>
    </row>
    <row r="32" spans="1:10" x14ac:dyDescent="0.25">
      <c r="A32" s="15">
        <v>31</v>
      </c>
      <c r="B32" s="16">
        <v>7</v>
      </c>
      <c r="C32" s="5">
        <v>0</v>
      </c>
      <c r="D32" s="5">
        <v>2610</v>
      </c>
      <c r="E32" s="5">
        <v>2800</v>
      </c>
      <c r="F32" s="5">
        <v>2803</v>
      </c>
      <c r="G32" s="5">
        <v>2610</v>
      </c>
      <c r="H32" s="5">
        <v>1473</v>
      </c>
      <c r="I32" s="5">
        <v>0</v>
      </c>
      <c r="J32" s="12">
        <v>119</v>
      </c>
    </row>
    <row r="33" spans="1:10" x14ac:dyDescent="0.25">
      <c r="A33" s="15">
        <v>32</v>
      </c>
      <c r="B33" s="16">
        <v>8</v>
      </c>
      <c r="C33" s="5">
        <v>1722</v>
      </c>
      <c r="D33" s="5">
        <v>2714</v>
      </c>
      <c r="E33" s="5">
        <v>2906</v>
      </c>
      <c r="F33" s="5">
        <v>3412</v>
      </c>
      <c r="G33" s="5">
        <v>2714</v>
      </c>
      <c r="H33" s="5">
        <v>1368</v>
      </c>
      <c r="I33" s="5">
        <v>0</v>
      </c>
      <c r="J33" s="12">
        <v>749</v>
      </c>
    </row>
    <row r="34" spans="1:10" x14ac:dyDescent="0.25">
      <c r="A34" s="15">
        <v>33</v>
      </c>
      <c r="B34" s="16">
        <v>8</v>
      </c>
      <c r="C34" s="5">
        <v>360</v>
      </c>
      <c r="D34" s="5">
        <v>2164</v>
      </c>
      <c r="E34" s="5">
        <v>954</v>
      </c>
      <c r="F34" s="5">
        <v>3526</v>
      </c>
      <c r="G34" s="5">
        <v>2164</v>
      </c>
      <c r="H34" s="5">
        <v>1632</v>
      </c>
      <c r="I34" s="5">
        <v>0</v>
      </c>
      <c r="J34" s="12">
        <v>136</v>
      </c>
    </row>
    <row r="35" spans="1:10" x14ac:dyDescent="0.25">
      <c r="A35" s="15">
        <v>34</v>
      </c>
      <c r="B35" s="16">
        <v>8</v>
      </c>
      <c r="C35" s="5">
        <v>360</v>
      </c>
      <c r="D35" s="5">
        <v>2335</v>
      </c>
      <c r="E35" s="5">
        <v>865</v>
      </c>
      <c r="F35" s="5">
        <v>2198</v>
      </c>
      <c r="G35" s="5">
        <v>2335</v>
      </c>
      <c r="H35" s="5">
        <v>1731</v>
      </c>
      <c r="I35" s="5">
        <v>0</v>
      </c>
      <c r="J35" s="12">
        <v>142</v>
      </c>
    </row>
    <row r="36" spans="1:10" x14ac:dyDescent="0.25">
      <c r="A36" s="15">
        <v>35</v>
      </c>
      <c r="B36" s="16">
        <v>8</v>
      </c>
      <c r="C36" s="5">
        <v>1320</v>
      </c>
      <c r="D36" s="5">
        <v>2706</v>
      </c>
      <c r="E36" s="5">
        <v>2555</v>
      </c>
      <c r="F36" s="5">
        <v>11992</v>
      </c>
      <c r="G36" s="5">
        <v>2706</v>
      </c>
      <c r="H36" s="5">
        <v>1557</v>
      </c>
      <c r="I36" s="5">
        <v>0</v>
      </c>
      <c r="J36" s="12">
        <v>148</v>
      </c>
    </row>
    <row r="37" spans="1:10" x14ac:dyDescent="0.25">
      <c r="A37" s="15">
        <v>36</v>
      </c>
      <c r="B37" s="16">
        <v>9</v>
      </c>
      <c r="C37" s="5">
        <v>720</v>
      </c>
      <c r="D37" s="5">
        <v>4234</v>
      </c>
      <c r="E37" s="5">
        <v>3920</v>
      </c>
      <c r="F37" s="5">
        <v>2584</v>
      </c>
      <c r="G37" s="5">
        <v>4234</v>
      </c>
      <c r="H37" s="5">
        <v>2058</v>
      </c>
      <c r="I37" s="5">
        <v>0</v>
      </c>
      <c r="J37" s="12">
        <v>106</v>
      </c>
    </row>
    <row r="38" spans="1:10" x14ac:dyDescent="0.25">
      <c r="A38" s="15">
        <v>37</v>
      </c>
      <c r="B38" s="16">
        <v>9</v>
      </c>
      <c r="C38" s="5">
        <v>600</v>
      </c>
      <c r="D38" s="5">
        <v>3630</v>
      </c>
      <c r="E38" s="5">
        <v>1680</v>
      </c>
      <c r="F38" s="5">
        <v>2240</v>
      </c>
      <c r="G38" s="5">
        <v>3630</v>
      </c>
      <c r="H38" s="5">
        <v>910</v>
      </c>
      <c r="I38" s="5">
        <v>0</v>
      </c>
      <c r="J38" s="12">
        <v>98</v>
      </c>
    </row>
    <row r="39" spans="1:10" x14ac:dyDescent="0.25">
      <c r="A39" s="15">
        <v>38</v>
      </c>
      <c r="B39" s="16">
        <v>9</v>
      </c>
      <c r="C39" s="5">
        <v>462</v>
      </c>
      <c r="D39" s="5">
        <v>3025</v>
      </c>
      <c r="E39" s="5">
        <v>1120</v>
      </c>
      <c r="F39" s="5">
        <v>2928</v>
      </c>
      <c r="G39" s="5">
        <v>3025</v>
      </c>
      <c r="H39" s="5">
        <v>440</v>
      </c>
      <c r="I39" s="5">
        <v>0</v>
      </c>
      <c r="J39" s="12">
        <v>36</v>
      </c>
    </row>
    <row r="40" spans="1:10" x14ac:dyDescent="0.25">
      <c r="A40" s="15">
        <v>39</v>
      </c>
      <c r="B40" s="16">
        <v>9</v>
      </c>
      <c r="C40" s="5">
        <v>302</v>
      </c>
      <c r="D40" s="5">
        <v>2957</v>
      </c>
      <c r="E40" s="5">
        <v>1069</v>
      </c>
      <c r="F40" s="5">
        <v>2495</v>
      </c>
      <c r="G40" s="5">
        <v>2957</v>
      </c>
      <c r="H40" s="5">
        <v>528</v>
      </c>
      <c r="I40" s="5">
        <v>0</v>
      </c>
      <c r="J40" s="12">
        <v>12</v>
      </c>
    </row>
    <row r="41" spans="1:10" x14ac:dyDescent="0.25">
      <c r="A41" s="15">
        <v>40</v>
      </c>
      <c r="B41" s="16">
        <v>10</v>
      </c>
      <c r="C41" s="5">
        <v>418</v>
      </c>
      <c r="D41" s="5">
        <v>1998</v>
      </c>
      <c r="E41" s="5">
        <v>1403</v>
      </c>
      <c r="F41" s="5">
        <v>2010</v>
      </c>
      <c r="G41" s="5">
        <v>1998</v>
      </c>
      <c r="H41" s="5">
        <v>126</v>
      </c>
      <c r="I41" s="5">
        <v>0</v>
      </c>
      <c r="J41" s="12">
        <v>8</v>
      </c>
    </row>
    <row r="42" spans="1:10" x14ac:dyDescent="0.25">
      <c r="A42" s="15">
        <v>41</v>
      </c>
      <c r="B42" s="16">
        <v>10</v>
      </c>
      <c r="C42" s="5">
        <v>241</v>
      </c>
      <c r="D42" s="5">
        <v>2246</v>
      </c>
      <c r="E42" s="5">
        <v>1487</v>
      </c>
      <c r="F42" s="5">
        <v>2765</v>
      </c>
      <c r="G42" s="5">
        <v>2246</v>
      </c>
      <c r="H42" s="5">
        <v>1218</v>
      </c>
      <c r="I42" s="5">
        <v>0</v>
      </c>
      <c r="J42" s="12">
        <v>9</v>
      </c>
    </row>
    <row r="43" spans="1:10" x14ac:dyDescent="0.25">
      <c r="A43" s="15">
        <v>42</v>
      </c>
      <c r="B43" s="16">
        <v>10</v>
      </c>
      <c r="C43" s="5">
        <v>147</v>
      </c>
      <c r="D43" s="5">
        <v>1925</v>
      </c>
      <c r="E43" s="5">
        <v>560</v>
      </c>
      <c r="F43" s="5">
        <v>560</v>
      </c>
      <c r="G43" s="5">
        <v>1925</v>
      </c>
      <c r="H43" s="5">
        <v>987</v>
      </c>
      <c r="I43" s="5">
        <v>0</v>
      </c>
      <c r="J43" s="12">
        <v>15</v>
      </c>
    </row>
    <row r="44" spans="1:10" x14ac:dyDescent="0.25">
      <c r="A44" s="15">
        <v>43</v>
      </c>
      <c r="B44" s="16">
        <v>10</v>
      </c>
      <c r="C44" s="5" t="s">
        <v>13</v>
      </c>
      <c r="D44" s="5" t="s">
        <v>13</v>
      </c>
      <c r="E44" s="5" t="s">
        <v>13</v>
      </c>
      <c r="F44" s="5" t="s">
        <v>13</v>
      </c>
      <c r="G44" s="5" t="s">
        <v>13</v>
      </c>
      <c r="H44" s="5" t="s">
        <v>13</v>
      </c>
      <c r="I44" s="5" t="s">
        <v>13</v>
      </c>
      <c r="J44" s="5" t="s">
        <v>13</v>
      </c>
    </row>
    <row r="45" spans="1:10" x14ac:dyDescent="0.25">
      <c r="A45" s="15">
        <v>44</v>
      </c>
      <c r="B45" s="16">
        <v>10</v>
      </c>
      <c r="C45" s="5" t="s">
        <v>13</v>
      </c>
      <c r="D45" s="5" t="s">
        <v>13</v>
      </c>
      <c r="E45" s="5" t="s">
        <v>13</v>
      </c>
      <c r="F45" s="5" t="s">
        <v>13</v>
      </c>
      <c r="G45" s="5" t="s">
        <v>13</v>
      </c>
      <c r="H45" s="5" t="s">
        <v>13</v>
      </c>
      <c r="I45" s="5" t="s">
        <v>13</v>
      </c>
      <c r="J45" s="5" t="s">
        <v>13</v>
      </c>
    </row>
    <row r="46" spans="1:10" x14ac:dyDescent="0.25">
      <c r="A46" s="15">
        <v>45</v>
      </c>
      <c r="B46" s="16">
        <v>11</v>
      </c>
      <c r="C46" s="5" t="s">
        <v>13</v>
      </c>
      <c r="D46" s="5" t="s">
        <v>13</v>
      </c>
      <c r="E46" s="5" t="s">
        <v>13</v>
      </c>
      <c r="F46" s="5" t="s">
        <v>13</v>
      </c>
      <c r="G46" s="5" t="s">
        <v>13</v>
      </c>
      <c r="H46" s="5" t="s">
        <v>13</v>
      </c>
      <c r="I46" s="5" t="s">
        <v>13</v>
      </c>
      <c r="J46" s="5" t="s">
        <v>13</v>
      </c>
    </row>
    <row r="47" spans="1:10" x14ac:dyDescent="0.25">
      <c r="A47" s="15">
        <v>46</v>
      </c>
      <c r="B47" s="16">
        <v>11</v>
      </c>
      <c r="C47" s="5" t="s">
        <v>13</v>
      </c>
      <c r="D47" s="5" t="s">
        <v>13</v>
      </c>
      <c r="E47" s="5" t="s">
        <v>13</v>
      </c>
      <c r="F47" s="5" t="s">
        <v>13</v>
      </c>
      <c r="G47" s="5" t="s">
        <v>13</v>
      </c>
      <c r="H47" s="5" t="s">
        <v>13</v>
      </c>
      <c r="I47" s="5" t="s">
        <v>13</v>
      </c>
      <c r="J47" s="5" t="s">
        <v>13</v>
      </c>
    </row>
    <row r="48" spans="1:10" x14ac:dyDescent="0.25">
      <c r="A48" s="15">
        <v>47</v>
      </c>
      <c r="B48" s="16">
        <v>11</v>
      </c>
      <c r="C48" s="5" t="s">
        <v>13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I48" s="5" t="s">
        <v>13</v>
      </c>
      <c r="J48" s="5" t="s">
        <v>13</v>
      </c>
    </row>
    <row r="49" spans="1:10" x14ac:dyDescent="0.25">
      <c r="A49" s="15">
        <v>48</v>
      </c>
      <c r="B49" s="16">
        <v>11</v>
      </c>
      <c r="C49" s="5" t="s">
        <v>13</v>
      </c>
      <c r="D49" s="5" t="s">
        <v>13</v>
      </c>
      <c r="E49" s="5" t="s">
        <v>13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</row>
    <row r="50" spans="1:10" x14ac:dyDescent="0.25">
      <c r="A50" s="15">
        <v>49</v>
      </c>
      <c r="B50" s="16">
        <v>12</v>
      </c>
      <c r="C50" s="5" t="s">
        <v>13</v>
      </c>
      <c r="D50" s="5" t="s">
        <v>13</v>
      </c>
      <c r="E50" s="5" t="s">
        <v>13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</row>
    <row r="51" spans="1:10" x14ac:dyDescent="0.25">
      <c r="A51" s="15">
        <v>50</v>
      </c>
      <c r="B51" s="16">
        <v>12</v>
      </c>
      <c r="C51" s="5" t="s">
        <v>13</v>
      </c>
      <c r="D51" s="5" t="s">
        <v>13</v>
      </c>
      <c r="E51" s="5" t="s">
        <v>13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</row>
    <row r="52" spans="1:10" x14ac:dyDescent="0.25">
      <c r="A52" s="15">
        <v>51</v>
      </c>
      <c r="B52" s="16">
        <v>12</v>
      </c>
      <c r="C52" s="5" t="s">
        <v>13</v>
      </c>
      <c r="D52" s="5" t="s">
        <v>13</v>
      </c>
      <c r="E52" s="5" t="s">
        <v>13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13</v>
      </c>
    </row>
    <row r="53" spans="1:10" ht="15.75" thickBot="1" x14ac:dyDescent="0.3">
      <c r="A53" s="17">
        <v>52</v>
      </c>
      <c r="B53" s="18">
        <v>12</v>
      </c>
      <c r="C53" s="5" t="s">
        <v>13</v>
      </c>
      <c r="D53" s="5" t="s">
        <v>13</v>
      </c>
      <c r="E53" s="5" t="s">
        <v>13</v>
      </c>
      <c r="F53" s="5" t="s">
        <v>13</v>
      </c>
      <c r="G53" s="5" t="s">
        <v>13</v>
      </c>
      <c r="H53" s="5" t="s">
        <v>13</v>
      </c>
      <c r="I53" s="5" t="s">
        <v>13</v>
      </c>
      <c r="J53" s="5" t="s">
        <v>13</v>
      </c>
    </row>
    <row r="54" spans="1:10" x14ac:dyDescent="0.25">
      <c r="C54" s="9"/>
      <c r="D54" s="9"/>
      <c r="E54" s="9"/>
      <c r="F54" s="9"/>
      <c r="G54" s="9"/>
      <c r="H54" s="9"/>
      <c r="I5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opLeftCell="A19" workbookViewId="0">
      <selection activeCell="M35" sqref="M35"/>
    </sheetView>
  </sheetViews>
  <sheetFormatPr defaultRowHeight="15" x14ac:dyDescent="0.25"/>
  <cols>
    <col min="2" max="2" width="9.140625" style="4"/>
  </cols>
  <sheetData>
    <row r="1" spans="1:10" ht="51" x14ac:dyDescent="0.25">
      <c r="A1" s="19" t="s">
        <v>3</v>
      </c>
      <c r="B1" s="20" t="s">
        <v>4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9</v>
      </c>
      <c r="H1" s="2" t="s">
        <v>10</v>
      </c>
      <c r="I1" s="3" t="s">
        <v>11</v>
      </c>
      <c r="J1" s="11" t="s">
        <v>12</v>
      </c>
    </row>
    <row r="2" spans="1:10" x14ac:dyDescent="0.25">
      <c r="A2" s="21">
        <v>1</v>
      </c>
      <c r="B2" s="22">
        <v>1</v>
      </c>
      <c r="C2" s="25" t="s">
        <v>13</v>
      </c>
      <c r="D2" s="25" t="s">
        <v>13</v>
      </c>
      <c r="E2" s="25" t="s">
        <v>13</v>
      </c>
      <c r="F2" s="25" t="s">
        <v>13</v>
      </c>
      <c r="G2" s="25" t="s">
        <v>13</v>
      </c>
      <c r="H2" s="25" t="s">
        <v>13</v>
      </c>
      <c r="I2" s="25" t="s">
        <v>13</v>
      </c>
      <c r="J2" s="25" t="s">
        <v>13</v>
      </c>
    </row>
    <row r="3" spans="1:10" x14ac:dyDescent="0.25">
      <c r="A3" s="21">
        <v>2</v>
      </c>
      <c r="B3" s="22">
        <v>1</v>
      </c>
      <c r="C3" s="5">
        <f>IF(
  $C$1=[1]Склад!$F$13,
  IFERROR(
    SUMIFS(
      [1]Склад!$F$14:$F$279,
      [1]Склад!$B$14:$B$279, A3,
      [1]Склад!$E$14:$E$279, "Итог на конец недели"
    ),
    ""
  ),
  ""
)</f>
        <v>0</v>
      </c>
      <c r="D3" s="5">
        <f>IF(
  $D$1=[1]Склад!$G$13,
  IFERROR(
    SUMIFS(
      [1]Склад!$G$14:$G$279,
      [1]Склад!$B$14:$B$279, A3,
      [1]Склад!$E$14:$E$279, "Итог на конец недели"
    ),
    ""
  ),
  ""
)</f>
        <v>29896</v>
      </c>
      <c r="E3" s="5">
        <f>IF(
  $E$1=[1]Склад!$H$13,
  IFERROR(
    SUMIFS(
      [1]Склад!$H$14:$H$279,
      [1]Склад!$B$14:$B$279, A3,
      [1]Склад!$E$14:$E$279, "Итог на конец недели"
    ),
    ""
  ),
  ""
)</f>
        <v>29696</v>
      </c>
      <c r="F3" s="5">
        <f>IF(
  $F$1=[1]Склад!$I$13,
  IFERROR(
    SUMIFS(
      [1]Склад!$I$14:$I$279,
      [1]Склад!$B$14:$B$279, A3,
      [1]Склад!$E$14:$E$279, "Итог на конец недели"
    ),
    ""
  ),
  ""
)</f>
        <v>44032</v>
      </c>
      <c r="G3" s="5">
        <f>IF(
  $G$1=[1]Склад!$J$13,
  IFERROR(
    SUMIFS(
      [1]Склад!$J$14:$J$279,
      [1]Склад!$B$14:$B$279, A3,
      [1]Склад!$E$14:$E$279, "Итог на конец недели"
    ),
    ""
  ),
  ""
)</f>
        <v>0</v>
      </c>
      <c r="H3" s="5">
        <f>IF(
  $H$1=[1]Склад!$K$13,
  IFERROR(
    SUMIFS(
      [1]Склад!$K$14:$K$279,
      [1]Склад!$B$14:$B$279, A3,
      [1]Склад!$E$14:$E$279, "Итог на конец недели"
    ),
    ""
  ),
  ""
)</f>
        <v>42000</v>
      </c>
      <c r="I3" s="5">
        <f>IF(
  $I$1=[1]Склад!$L$13,
  IFERROR(
    SUMIFS(
      [1]Склад!$L$14:$L$279,
      [1]Склад!$B$14:$B$279, A3,
      [1]Склад!$E$14:$E$279, "Итог на конец недели"
    ),
    ""
  ),
  ""
)</f>
        <v>3636</v>
      </c>
      <c r="J3" s="12">
        <f>IF(
  $J$1=[1]Склад!$O$13,
  IFERROR(
    SUMIFS(
      [1]Склад!$O$14:$O$279,
      [1]Склад!$B$14:$B$279, A3,
      [1]Склад!$E$14:$E$279, "Итог на конец недели"
    ),
    ""
  ),
  ""
)</f>
        <v>2268</v>
      </c>
    </row>
    <row r="4" spans="1:10" x14ac:dyDescent="0.25">
      <c r="A4" s="21">
        <v>3</v>
      </c>
      <c r="B4" s="22">
        <v>1</v>
      </c>
      <c r="C4" s="5">
        <f>IF(
  $C$1=[1]Склад!$F$13,
  IFERROR(
    SUMIFS(
      [1]Склад!$F$14:$F$279,
      [1]Склад!$B$14:$B$279, A4,
      [1]Склад!$E$14:$E$279, "Итог на конец недели"
    ),
    ""
  ),
  ""
)</f>
        <v>5250</v>
      </c>
      <c r="D4" s="5">
        <f>IF(
  $D$1=[1]Склад!$G$13,
  IFERROR(
    SUMIFS(
      [1]Склад!$G$14:$G$279,
      [1]Склад!$B$14:$B$279, A4,
      [1]Склад!$E$14:$E$279, "Итог на конец недели"
    ),
    ""
  ),
  ""
)</f>
        <v>27658</v>
      </c>
      <c r="E4" s="5">
        <f>IF(
  $E$1=[1]Склад!$H$13,
  IFERROR(
    SUMIFS(
      [1]Склад!$H$14:$H$279,
      [1]Склад!$B$14:$B$279, A4,
      [1]Склад!$E$14:$E$279, "Итог на конец недели"
    ),
    ""
  ),
  ""
)</f>
        <v>28160</v>
      </c>
      <c r="F4" s="5">
        <f>IF(
  $F$1=[1]Склад!$I$13,
  IFERROR(
    SUMIFS(
      [1]Склад!$I$14:$I$279,
      [1]Склад!$B$14:$B$279, A4,
      [1]Склад!$E$14:$E$279, "Итог на конец недели"
    ),
    ""
  ),
  ""
)</f>
        <v>40448</v>
      </c>
      <c r="G4" s="5">
        <f>IF(
  $G$1=[1]Склад!$J$13,
  IFERROR(
    SUMIFS(
      [1]Склад!$J$14:$J$279,
      [1]Склад!$B$14:$B$279, A4,
      [1]Склад!$E$14:$E$279, "Итог на конец недели"
    ),
    ""
  ),
  ""
)</f>
        <v>0</v>
      </c>
      <c r="H4" s="5">
        <f>IF(
  $H$1=[1]Склад!$K$13,
  IFERROR(
    SUMIFS(
      [1]Склад!$K$14:$K$279,
      [1]Склад!$B$14:$B$279, A4,
      [1]Склад!$E$14:$E$279, "Итог на конец недели"
    ),
    ""
  ),
  ""
)</f>
        <v>40990</v>
      </c>
      <c r="I4" s="5">
        <f>IF(
  $I$1=[1]Склад!$L$13,
  IFERROR(
    SUMIFS(
      [1]Склад!$L$14:$L$279,
      [1]Склад!$B$14:$B$279, A4,
      [1]Склад!$E$14:$E$279, "Итог на конец недели"
    ),
    ""
  ),
  ""
)</f>
        <v>3636</v>
      </c>
      <c r="J4" s="12">
        <f>IF(
  $J$1=[1]Склад!$O$13,
  IFERROR(
    SUMIFS(
      [1]Склад!$O$14:$O$279,
      [1]Склад!$B$14:$B$279, A4,
      [1]Склад!$E$14:$E$279, "Итог на конец недели"
    ),
    ""
  ),
  ""
)</f>
        <v>2236</v>
      </c>
    </row>
    <row r="5" spans="1:10" x14ac:dyDescent="0.25">
      <c r="A5" s="21">
        <v>4</v>
      </c>
      <c r="B5" s="22">
        <v>1</v>
      </c>
      <c r="C5" s="5">
        <f>IF(
  $C$1=[1]Склад!$F$13,
  IFERROR(
    SUMIFS(
      [1]Склад!$F$14:$F$279,
      [1]Склад!$B$14:$B$279, A5,
      [1]Склад!$E$14:$E$279, "Итог на конец недели"
    ),
    ""
  ),
  ""
)</f>
        <v>5160</v>
      </c>
      <c r="D5" s="5">
        <f>IF(
  $D$1=[1]Склад!$G$13,
  IFERROR(
    SUMIFS(
      [1]Склад!$G$14:$G$279,
      [1]Склад!$B$14:$B$279, A5,
      [1]Склад!$E$14:$E$279, "Итог на конец недели"
    ),
    ""
  ),
  ""
)</f>
        <v>24330</v>
      </c>
      <c r="E5" s="5">
        <f>IF(
  $E$1=[1]Склад!$H$13,
  IFERROR(
    SUMIFS(
      [1]Склад!$H$14:$H$279,
      [1]Склад!$B$14:$B$279, A5,
      [1]Склад!$E$14:$E$279, "Итог на конец недели"
    ),
    ""
  ),
  ""
)</f>
        <v>27648</v>
      </c>
      <c r="F5" s="5">
        <f>IF(
  $F$1=[1]Склад!$I$13,
  IFERROR(
    SUMIFS(
      [1]Склад!$I$14:$I$279,
      [1]Склад!$B$14:$B$279, A5,
      [1]Склад!$E$14:$E$279, "Итог на конец недели"
    ),
    ""
  ),
  ""
)</f>
        <v>39424</v>
      </c>
      <c r="G5" s="5">
        <f>IF(
  $G$1=[1]Склад!$J$13,
  IFERROR(
    SUMIFS(
      [1]Склад!$J$14:$J$279,
      [1]Склад!$B$14:$B$279, A5,
      [1]Склад!$E$14:$E$279, "Итог на конец недели"
    ),
    ""
  ),
  ""
)</f>
        <v>0</v>
      </c>
      <c r="H5" s="5">
        <f>IF(
  $H$1=[1]Склад!$K$13,
  IFERROR(
    SUMIFS(
      [1]Склад!$K$14:$K$279,
      [1]Склад!$B$14:$B$279, A5,
      [1]Склад!$E$14:$E$279, "Итог на конец недели"
    ),
    ""
  ),
  ""
)</f>
        <v>40246</v>
      </c>
      <c r="I5" s="5">
        <f>IF(
  $I$1=[1]Склад!$L$13,
  IFERROR(
    SUMIFS(
      [1]Склад!$L$14:$L$279,
      [1]Склад!$B$14:$B$279, A5,
      [1]Склад!$E$14:$E$279, "Итог на конец недели"
    ),
    ""
  ),
  ""
)</f>
        <v>3636</v>
      </c>
      <c r="J5" s="12">
        <f>IF(
  $J$1=[1]Склад!$O$13,
  IFERROR(
    SUMIFS(
      [1]Склад!$O$14:$O$279,
      [1]Склад!$B$14:$B$279, A5,
      [1]Склад!$E$14:$E$279, "Итог на конец недели"
    ),
    ""
  ),
  ""
)</f>
        <v>2224</v>
      </c>
    </row>
    <row r="6" spans="1:10" x14ac:dyDescent="0.25">
      <c r="A6" s="21">
        <v>5</v>
      </c>
      <c r="B6" s="22">
        <v>1</v>
      </c>
      <c r="C6" s="5">
        <f>IF(
  $C$1=[1]Склад!$F$13,
  IFERROR(
    SUMIFS(
      [1]Склад!$F$14:$F$279,
      [1]Склад!$B$14:$B$279, A6,
      [1]Склад!$E$14:$E$279, "Итог на конец недели"
    ),
    ""
  ),
  ""
)</f>
        <v>5160</v>
      </c>
      <c r="D6" s="5">
        <f>IF(
  $D$1=[1]Склад!$G$13,
  IFERROR(
    SUMIFS(
      [1]Склад!$G$14:$G$279,
      [1]Склад!$B$14:$B$279, A6,
      [1]Склад!$E$14:$E$279, "Итог на конец недели"
    ),
    ""
  ),
  ""
)</f>
        <v>19466</v>
      </c>
      <c r="E6" s="5">
        <f>IF(
  $E$1=[1]Склад!$H$13,
  IFERROR(
    SUMIFS(
      [1]Склад!$H$14:$H$279,
      [1]Склад!$B$14:$B$279, A6,
      [1]Склад!$E$14:$E$279, "Итог на конец недели"
    ),
    ""
  ),
  ""
)</f>
        <v>25088</v>
      </c>
      <c r="F6" s="5">
        <f>IF(
  $F$1=[1]Склад!$I$13,
  IFERROR(
    SUMIFS(
      [1]Склад!$I$14:$I$279,
      [1]Склад!$B$14:$B$279, A6,
      [1]Склад!$E$14:$E$279, "Итог на конец недели"
    ),
    ""
  ),
  ""
)</f>
        <v>37888</v>
      </c>
      <c r="G6" s="5">
        <f>IF(
  $G$1=[1]Склад!$J$13,
  IFERROR(
    SUMIFS(
      [1]Склад!$J$14:$J$279,
      [1]Склад!$B$14:$B$279, A6,
      [1]Склад!$E$14:$E$279, "Итог на конец недели"
    ),
    ""
  ),
  ""
)</f>
        <v>0</v>
      </c>
      <c r="H6" s="5">
        <f>IF(
  $H$1=[1]Склад!$K$13,
  IFERROR(
    SUMIFS(
      [1]Склад!$K$14:$K$279,
      [1]Склад!$B$14:$B$279, A6,
      [1]Склад!$E$14:$E$279, "Итог на конец недели"
    ),
    ""
  ),
  ""
)</f>
        <v>39334</v>
      </c>
      <c r="I6" s="5">
        <f>IF(
  $I$1=[1]Склад!$L$13,
  IFERROR(
    SUMIFS(
      [1]Склад!$L$14:$L$279,
      [1]Склад!$B$14:$B$279, A6,
      [1]Склад!$E$14:$E$279, "Итог на конец недели"
    ),
    ""
  ),
  ""
)</f>
        <v>3636</v>
      </c>
      <c r="J6" s="12">
        <f>IF(
  $J$1=[1]Склад!$O$13,
  IFERROR(
    SUMIFS(
      [1]Склад!$O$14:$O$279,
      [1]Склад!$B$14:$B$279, A6,
      [1]Склад!$E$14:$E$279, "Итог на конец недели"
    ),
    ""
  ),
  ""
)</f>
        <v>2246</v>
      </c>
    </row>
    <row r="7" spans="1:10" x14ac:dyDescent="0.25">
      <c r="A7" s="21">
        <v>6</v>
      </c>
      <c r="B7" s="22">
        <v>2</v>
      </c>
      <c r="C7" s="5">
        <f>IF(
  $C$1=[1]Склад!$F$13,
  IFERROR(
    SUMIFS(
      [1]Склад!$F$14:$F$279,
      [1]Склад!$B$14:$B$279, A7,
      [1]Склад!$E$14:$E$279, "Итог на конец недели"
    ),
    ""
  ),
  ""
)</f>
        <v>5040</v>
      </c>
      <c r="D7" s="5">
        <f>IF(
  $D$1=[1]Склад!$G$13,
  IFERROR(
    SUMIFS(
      [1]Склад!$G$14:$G$279,
      [1]Склад!$B$14:$B$279, A7,
      [1]Склад!$E$14:$E$279, "Итог на конец недели"
    ),
    ""
  ),
  ""
)</f>
        <v>31146</v>
      </c>
      <c r="E7" s="5">
        <f>IF(
  $E$1=[1]Склад!$H$13,
  IFERROR(
    SUMIFS(
      [1]Склад!$H$14:$H$279,
      [1]Склад!$B$14:$B$279, A7,
      [1]Склад!$E$14:$E$279, "Итог на конец недели"
    ),
    ""
  ),
  ""
)</f>
        <v>24576</v>
      </c>
      <c r="F7" s="5">
        <f>IF(
  $F$1=[1]Склад!$I$13,
  IFERROR(
    SUMIFS(
      [1]Склад!$I$14:$I$279,
      [1]Склад!$B$14:$B$279, A7,
      [1]Склад!$E$14:$E$279, "Итог на конец недели"
    ),
    ""
  ),
  ""
)</f>
        <v>36864</v>
      </c>
      <c r="G7" s="5">
        <f>IF(
  $G$1=[1]Склад!$J$13,
  IFERROR(
    SUMIFS(
      [1]Склад!$J$14:$J$279,
      [1]Склад!$B$14:$B$279, A7,
      [1]Склад!$E$14:$E$279, "Итог на конец недели"
    ),
    ""
  ),
  ""
)</f>
        <v>0</v>
      </c>
      <c r="H7" s="5">
        <f>IF(
  $H$1=[1]Склад!$K$13,
  IFERROR(
    SUMIFS(
      [1]Склад!$K$14:$K$279,
      [1]Склад!$B$14:$B$279, A7,
      [1]Склад!$E$14:$E$279, "Итог на конец недели"
    ),
    ""
  ),
  ""
)</f>
        <v>38734</v>
      </c>
      <c r="I7" s="5">
        <f>IF(
  $I$1=[1]Склад!$L$13,
  IFERROR(
    SUMIFS(
      [1]Склад!$L$14:$L$279,
      [1]Склад!$B$14:$B$279, A7,
      [1]Склад!$E$14:$E$279, "Итог на конец недели"
    ),
    ""
  ),
  ""
)</f>
        <v>3636</v>
      </c>
      <c r="J7" s="12">
        <f>IF(
  $J$1=[1]Склад!$O$13,
  IFERROR(
    SUMIFS(
      [1]Склад!$O$14:$O$279,
      [1]Склад!$B$14:$B$279, A7,
      [1]Склад!$E$14:$E$279, "Итог на конец недели"
    ),
    ""
  ),
  ""
)</f>
        <v>2198</v>
      </c>
    </row>
    <row r="8" spans="1:10" x14ac:dyDescent="0.25">
      <c r="A8" s="21">
        <v>7</v>
      </c>
      <c r="B8" s="22">
        <v>2</v>
      </c>
      <c r="C8" s="5">
        <f>IF(
  $C$1=[1]Склад!$F$13,
  IFERROR(
    SUMIFS(
      [1]Склад!$F$14:$F$279,
      [1]Склад!$B$14:$B$279, A8,
      [1]Склад!$E$14:$E$279, "Итог на конец недели"
    ),
    ""
  ),
  ""
)</f>
        <v>5040</v>
      </c>
      <c r="D8" s="5">
        <f>IF(
  $D$1=[1]Склад!$G$13,
  IFERROR(
    SUMIFS(
      [1]Склад!$G$14:$G$279,
      [1]Склад!$B$14:$B$279, A8,
      [1]Склад!$E$14:$E$279, "Итог на конец недели"
    ),
    ""
  ),
  ""
)</f>
        <v>27658</v>
      </c>
      <c r="E8" s="5">
        <f>IF(
  $E$1=[1]Склад!$H$13,
  IFERROR(
    SUMIFS(
      [1]Склад!$H$14:$H$279,
      [1]Склад!$B$14:$B$279, A8,
      [1]Склад!$E$14:$E$279, "Итог на конец недели"
    ),
    ""
  ),
  ""
)</f>
        <v>23040</v>
      </c>
      <c r="F8" s="5">
        <f>IF(
  $F$1=[1]Склад!$I$13,
  IFERROR(
    SUMIFS(
      [1]Склад!$I$14:$I$279,
      [1]Склад!$B$14:$B$279, A8,
      [1]Склад!$E$14:$E$279, "Итог на конец недели"
    ),
    ""
  ),
  ""
)</f>
        <v>34864</v>
      </c>
      <c r="G8" s="5">
        <f>IF(
  $G$1=[1]Склад!$J$13,
  IFERROR(
    SUMIFS(
      [1]Склад!$J$14:$J$279,
      [1]Склад!$B$14:$B$279, A8,
      [1]Склад!$E$14:$E$279, "Итог на конец недели"
    ),
    ""
  ),
  ""
)</f>
        <v>0</v>
      </c>
      <c r="H8" s="5">
        <f>IF(
  $H$1=[1]Склад!$K$13,
  IFERROR(
    SUMIFS(
      [1]Склад!$K$14:$K$279,
      [1]Склад!$B$14:$B$279, A8,
      [1]Склад!$E$14:$E$279, "Итог на конец недели"
    ),
    ""
  ),
  ""
)</f>
        <v>37750</v>
      </c>
      <c r="I8" s="5">
        <f>IF(
  $I$1=[1]Склад!$L$13,
  IFERROR(
    SUMIFS(
      [1]Склад!$L$14:$L$279,
      [1]Склад!$B$14:$B$279, A8,
      [1]Склад!$E$14:$E$279, "Итог на конец недели"
    ),
    ""
  ),
  ""
)</f>
        <v>3636</v>
      </c>
      <c r="J8" s="12">
        <f>IF(
  $J$1=[1]Склад!$O$13,
  IFERROR(
    SUMIFS(
      [1]Склад!$O$14:$O$279,
      [1]Склад!$B$14:$B$279, A8,
      [1]Склад!$E$14:$E$279, "Итог на конец недели"
    ),
    ""
  ),
  ""
)</f>
        <v>2150</v>
      </c>
    </row>
    <row r="9" spans="1:10" x14ac:dyDescent="0.25">
      <c r="A9" s="21">
        <v>8</v>
      </c>
      <c r="B9" s="22">
        <v>2</v>
      </c>
      <c r="C9" s="5">
        <f>IF(
  $C$1=[1]Склад!$F$13,
  IFERROR(
    SUMIFS(
      [1]Склад!$F$14:$F$279,
      [1]Склад!$B$14:$B$279, A9,
      [1]Склад!$E$14:$E$279, "Итог на конец недели"
    ),
    ""
  ),
  ""
)</f>
        <v>5040</v>
      </c>
      <c r="D9" s="5">
        <f>IF(
  $D$1=[1]Склад!$G$13,
  IFERROR(
    SUMIFS(
      [1]Склад!$G$14:$G$279,
      [1]Склад!$B$14:$B$279, A9,
      [1]Склад!$E$14:$E$279, "Итог на конец недели"
    ),
    ""
  ),
  ""
)</f>
        <v>23050</v>
      </c>
      <c r="E9" s="5">
        <f>IF(
  $E$1=[1]Склад!$H$13,
  IFERROR(
    SUMIFS(
      [1]Склад!$H$14:$H$279,
      [1]Склад!$B$14:$B$279, A9,
      [1]Склад!$E$14:$E$279, "Итог на конец недели"
    ),
    ""
  ),
  ""
)</f>
        <v>21504</v>
      </c>
      <c r="F9" s="5">
        <f>IF(
  $F$1=[1]Склад!$I$13,
  IFERROR(
    SUMIFS(
      [1]Склад!$I$14:$I$279,
      [1]Склад!$B$14:$B$279, A9,
      [1]Склад!$E$14:$E$279, "Итог на конец недели"
    ),
    ""
  ),
  ""
)</f>
        <v>33840</v>
      </c>
      <c r="G9" s="5">
        <f>IF(
  $G$1=[1]Склад!$J$13,
  IFERROR(
    SUMIFS(
      [1]Склад!$J$14:$J$279,
      [1]Склад!$B$14:$B$279, A9,
      [1]Склад!$E$14:$E$279, "Итог на конец недели"
    ),
    ""
  ),
  ""
)</f>
        <v>0</v>
      </c>
      <c r="H9" s="5">
        <f>IF(
  $H$1=[1]Склад!$K$13,
  IFERROR(
    SUMIFS(
      [1]Склад!$K$14:$K$279,
      [1]Склад!$B$14:$B$279, A9,
      [1]Склад!$E$14:$E$279, "Итог на конец недели"
    ),
    ""
  ),
  ""
)</f>
        <v>36502</v>
      </c>
      <c r="I9" s="5">
        <f>IF(
  $I$1=[1]Склад!$L$13,
  IFERROR(
    SUMIFS(
      [1]Склад!$L$14:$L$279,
      [1]Склад!$B$14:$B$279, A9,
      [1]Склад!$E$14:$E$279, "Итог на конец недели"
    ),
    ""
  ),
  ""
)</f>
        <v>3636</v>
      </c>
      <c r="J9" s="12">
        <f>IF(
  $J$1=[1]Склад!$O$13,
  IFERROR(
    SUMIFS(
      [1]Склад!$O$14:$O$279,
      [1]Склад!$B$14:$B$279, A9,
      [1]Склад!$E$14:$E$279, "Итог на конец недели"
    ),
    ""
  ),
  ""
)</f>
        <v>2110</v>
      </c>
    </row>
    <row r="10" spans="1:10" x14ac:dyDescent="0.25">
      <c r="A10" s="21">
        <v>9</v>
      </c>
      <c r="B10" s="22">
        <v>2</v>
      </c>
      <c r="C10" s="5">
        <f>IF(
  $C$1=[1]Склад!$F$13,
  IFERROR(
    SUMIFS(
      [1]Склад!$F$14:$F$279,
      [1]Склад!$B$14:$B$279, A10,
      [1]Склад!$E$14:$E$279, "Итог на конец недели"
    ),
    ""
  ),
  ""
)</f>
        <v>5040</v>
      </c>
      <c r="D10" s="5">
        <f>IF(
  $D$1=[1]Склад!$G$13,
  IFERROR(
    SUMIFS(
      [1]Склад!$G$14:$G$279,
      [1]Склад!$B$14:$B$279, A10,
      [1]Склад!$E$14:$E$279, "Итог на конец недели"
    ),
    ""
  ),
  ""
)</f>
        <v>25866</v>
      </c>
      <c r="E10" s="5">
        <f>IF(
  $E$1=[1]Склад!$H$13,
  IFERROR(
    SUMIFS(
      [1]Склад!$H$14:$H$279,
      [1]Склад!$B$14:$B$279, A10,
      [1]Склад!$E$14:$E$279, "Итог на конец недели"
    ),
    ""
  ),
  ""
)</f>
        <v>20480</v>
      </c>
      <c r="F10" s="5">
        <f>IF(
  $F$1=[1]Склад!$I$13,
  IFERROR(
    SUMIFS(
      [1]Склад!$I$14:$I$279,
      [1]Склад!$B$14:$B$279, A10,
      [1]Склад!$E$14:$E$279, "Итог на конец недели"
    ),
    ""
  ),
  ""
)</f>
        <v>31232</v>
      </c>
      <c r="G10" s="5">
        <f>IF(
  $G$1=[1]Склад!$J$13,
  IFERROR(
    SUMIFS(
      [1]Склад!$J$14:$J$279,
      [1]Склад!$B$14:$B$279, A10,
      [1]Склад!$E$14:$E$279, "Итог на конец недели"
    ),
    ""
  ),
  ""
)</f>
        <v>0</v>
      </c>
      <c r="H10" s="5">
        <f>IF(
  $H$1=[1]Склад!$K$13,
  IFERROR(
    SUMIFS(
      [1]Склад!$K$14:$K$279,
      [1]Склад!$B$14:$B$279, A10,
      [1]Склад!$E$14:$E$279, "Итог на конец недели"
    ),
    ""
  ),
  ""
)</f>
        <v>36456</v>
      </c>
      <c r="I10" s="5">
        <f>IF(
  $I$1=[1]Склад!$L$13,
  IFERROR(
    SUMIFS(
      [1]Склад!$L$14:$L$279,
      [1]Склад!$B$14:$B$279, A10,
      [1]Склад!$E$14:$E$279, "Итог на конец недели"
    ),
    ""
  ),
  ""
)</f>
        <v>3636</v>
      </c>
      <c r="J10" s="12">
        <f>IF(
  $J$1=[1]Склад!$O$13,
  IFERROR(
    SUMIFS(
      [1]Склад!$O$14:$O$279,
      [1]Склад!$B$14:$B$279, A10,
      [1]Склад!$E$14:$E$279, "Итог на конец недели"
    ),
    ""
  ),
  ""
)</f>
        <v>2042</v>
      </c>
    </row>
    <row r="11" spans="1:10" x14ac:dyDescent="0.25">
      <c r="A11" s="21">
        <v>10</v>
      </c>
      <c r="B11" s="22">
        <v>3</v>
      </c>
      <c r="C11" s="5">
        <f>IF(
  $C$1=[1]Склад!$F$13,
  IFERROR(
    SUMIFS(
      [1]Склад!$F$14:$F$279,
      [1]Склад!$B$14:$B$279, A11,
      [1]Склад!$E$14:$E$279, "Итог на конец недели"
    ),
    ""
  ),
  ""
)</f>
        <v>5040</v>
      </c>
      <c r="D11" s="5">
        <f>IF(
  $D$1=[1]Склад!$G$13,
  IFERROR(
    SUMIFS(
      [1]Склад!$G$14:$G$279,
      [1]Склад!$B$14:$B$279, A11,
      [1]Склад!$E$14:$E$279, "Итог на конец недели"
    ),
    ""
  ),
  ""
)</f>
        <v>20746</v>
      </c>
      <c r="E11" s="5">
        <f>IF(
  $E$1=[1]Склад!$H$13,
  IFERROR(
    SUMIFS(
      [1]Склад!$H$14:$H$279,
      [1]Склад!$B$14:$B$279, A11,
      [1]Склад!$E$14:$E$279, "Итог на конец недели"
    ),
    ""
  ),
  ""
)</f>
        <v>18432</v>
      </c>
      <c r="F11" s="5">
        <f>IF(
  $F$1=[1]Склад!$I$13,
  IFERROR(
    SUMIFS(
      [1]Склад!$I$14:$I$279,
      [1]Склад!$B$14:$B$279, A11,
      [1]Склад!$E$14:$E$279, "Итог на конец недели"
    ),
    ""
  ),
  ""
)</f>
        <v>17408</v>
      </c>
      <c r="G11" s="5">
        <f>IF(
  $G$1=[1]Склад!$J$13,
  IFERROR(
    SUMIFS(
      [1]Склад!$J$14:$J$279,
      [1]Склад!$B$14:$B$279, A11,
      [1]Склад!$E$14:$E$279, "Итог на конец недели"
    ),
    ""
  ),
  ""
)</f>
        <v>0</v>
      </c>
      <c r="H11" s="5">
        <f>IF(
  $H$1=[1]Склад!$K$13,
  IFERROR(
    SUMIFS(
      [1]Склад!$K$14:$K$279,
      [1]Склад!$B$14:$B$279, A11,
      [1]Склад!$E$14:$E$279, "Итог на конец недели"
    ),
    ""
  ),
  ""
)</f>
        <v>36336</v>
      </c>
      <c r="I11" s="5">
        <f>IF(
  $I$1=[1]Склад!$L$13,
  IFERROR(
    SUMIFS(
      [1]Склад!$L$14:$L$279,
      [1]Склад!$B$14:$B$279, A11,
      [1]Склад!$E$14:$E$279, "Итог на конец недели"
    ),
    ""
  ),
  ""
)</f>
        <v>3636</v>
      </c>
      <c r="J11" s="12">
        <f>IF(
  $J$1=[1]Склад!$O$13,
  IFERROR(
    SUMIFS(
      [1]Склад!$O$14:$O$279,
      [1]Склад!$B$14:$B$279, A11,
      [1]Склад!$E$14:$E$279, "Итог на конец недели"
    ),
    ""
  ),
  ""
)</f>
        <v>2002</v>
      </c>
    </row>
    <row r="12" spans="1:10" x14ac:dyDescent="0.25">
      <c r="A12" s="21">
        <v>11</v>
      </c>
      <c r="B12" s="22">
        <v>3</v>
      </c>
      <c r="C12" s="5">
        <f>IF(
  $C$1=[1]Склад!$F$13,
  IFERROR(
    SUMIFS(
      [1]Склад!$F$14:$F$279,
      [1]Склад!$B$14:$B$279, A12,
      [1]Склад!$E$14:$E$279, "Итог на конец недели"
    ),
    ""
  ),
  ""
)</f>
        <v>5040</v>
      </c>
      <c r="D12" s="5">
        <f>IF(
  $D$1=[1]Склад!$G$13,
  IFERROR(
    SUMIFS(
      [1]Склад!$G$14:$G$279,
      [1]Склад!$B$14:$B$279, A12,
      [1]Склад!$E$14:$E$279, "Итог на конец недели"
    ),
    ""
  ),
  ""
)</f>
        <v>15626</v>
      </c>
      <c r="E12" s="5">
        <f>IF(
  $E$1=[1]Склад!$H$13,
  IFERROR(
    SUMIFS(
      [1]Склад!$H$14:$H$279,
      [1]Склад!$B$14:$B$279, A12,
      [1]Склад!$E$14:$E$279, "Итог на конец недели"
    ),
    ""
  ),
  ""
)</f>
        <v>17408</v>
      </c>
      <c r="F12" s="5">
        <f>IF(
  $F$1=[1]Склад!$I$13,
  IFERROR(
    SUMIFS(
      [1]Склад!$I$14:$I$279,
      [1]Склад!$B$14:$B$279, A12,
      [1]Склад!$E$14:$E$279, "Итог на конец недели"
    ),
    ""
  ),
  ""
)</f>
        <v>15872</v>
      </c>
      <c r="G12" s="5">
        <f>IF(
  $G$1=[1]Склад!$J$13,
  IFERROR(
    SUMIFS(
      [1]Склад!$J$14:$J$279,
      [1]Склад!$B$14:$B$279, A12,
      [1]Склад!$E$14:$E$279, "Итог на конец недели"
    ),
    ""
  ),
  ""
)</f>
        <v>0</v>
      </c>
      <c r="H12" s="5">
        <f>IF(
  $H$1=[1]Склад!$K$13,
  IFERROR(
    SUMIFS(
      [1]Склад!$K$14:$K$279,
      [1]Склад!$B$14:$B$279, A12,
      [1]Склад!$E$14:$E$279, "Итог на конец недели"
    ),
    ""
  ),
  ""
)</f>
        <v>34824</v>
      </c>
      <c r="I12" s="5">
        <f>IF(
  $I$1=[1]Склад!$L$13,
  IFERROR(
    SUMIFS(
      [1]Склад!$L$14:$L$279,
      [1]Склад!$B$14:$B$279, A12,
      [1]Склад!$E$14:$E$279, "Итог на конец недели"
    ),
    ""
  ),
  ""
)</f>
        <v>3636</v>
      </c>
      <c r="J12" s="12">
        <f>IF(
  $J$1=[1]Склад!$O$13,
  IFERROR(
    SUMIFS(
      [1]Склад!$O$14:$O$279,
      [1]Склад!$B$14:$B$279, A12,
      [1]Склад!$E$14:$E$279, "Итог на конец недели"
    ),
    ""
  ),
  ""
)</f>
        <v>1934</v>
      </c>
    </row>
    <row r="13" spans="1:10" x14ac:dyDescent="0.25">
      <c r="A13" s="21">
        <v>12</v>
      </c>
      <c r="B13" s="22">
        <v>3</v>
      </c>
      <c r="C13" s="5">
        <f>IF(
  $C$1=[1]Склад!$F$13,
  IFERROR(
    SUMIFS(
      [1]Склад!$F$14:$F$279,
      [1]Склад!$B$14:$B$279, A13,
      [1]Склад!$E$14:$E$279, "Итог на конец недели"
    ),
    ""
  ),
  ""
)</f>
        <v>5040</v>
      </c>
      <c r="D13" s="5">
        <f>IF(
  $D$1=[1]Склад!$G$13,
  IFERROR(
    SUMIFS(
      [1]Склад!$G$14:$G$279,
      [1]Склад!$B$14:$B$279, A13,
      [1]Склад!$E$14:$E$279, "Итог на конец недели"
    ),
    ""
  ),
  ""
)</f>
        <v>36362</v>
      </c>
      <c r="E13" s="5">
        <f>IF(
  $E$1=[1]Склад!$H$13,
  IFERROR(
    SUMIFS(
      [1]Склад!$H$14:$H$279,
      [1]Склад!$B$14:$B$279, A13,
      [1]Склад!$E$14:$E$279, "Итог на конец недели"
    ),
    ""
  ),
  ""
)</f>
        <v>27648</v>
      </c>
      <c r="F13" s="5">
        <f>IF(
  $F$1=[1]Склад!$I$13,
  IFERROR(
    SUMIFS(
      [1]Склад!$I$14:$I$279,
      [1]Склад!$B$14:$B$279, A13,
      [1]Склад!$E$14:$E$279, "Итог на конец недели"
    ),
    ""
  ),
  ""
)</f>
        <v>13824</v>
      </c>
      <c r="G13" s="5">
        <f>IF(
  $G$1=[1]Склад!$J$13,
  IFERROR(
    SUMIFS(
      [1]Склад!$J$14:$J$279,
      [1]Склад!$B$14:$B$279, A13,
      [1]Склад!$E$14:$E$279, "Итог на конец недели"
    ),
    ""
  ),
  ""
)</f>
        <v>0</v>
      </c>
      <c r="H13" s="5">
        <f>IF(
  $H$1=[1]Склад!$K$13,
  IFERROR(
    SUMIFS(
      [1]Склад!$K$14:$K$279,
      [1]Склад!$B$14:$B$279, A13,
      [1]Склад!$E$14:$E$279, "Итог на конец недели"
    ),
    ""
  ),
  ""
)</f>
        <v>32424</v>
      </c>
      <c r="I13" s="5">
        <f>IF(
  $I$1=[1]Склад!$L$13,
  IFERROR(
    SUMIFS(
      [1]Склад!$L$14:$L$279,
      [1]Склад!$B$14:$B$279, A13,
      [1]Склад!$E$14:$E$279, "Итог на конец недели"
    ),
    ""
  ),
  ""
)</f>
        <v>3420</v>
      </c>
      <c r="J13" s="12">
        <f>IF(
  $J$1=[1]Склад!$O$13,
  IFERROR(
    SUMIFS(
      [1]Склад!$O$14:$O$279,
      [1]Склад!$B$14:$B$279, A13,
      [1]Склад!$E$14:$E$279, "Итог на конец недели"
    ),
    ""
  ),
  ""
)</f>
        <v>1922</v>
      </c>
    </row>
    <row r="14" spans="1:10" x14ac:dyDescent="0.25">
      <c r="A14" s="21">
        <v>13</v>
      </c>
      <c r="B14" s="22">
        <v>3</v>
      </c>
      <c r="C14" s="5">
        <f>IF(
  $C$1=[1]Склад!$F$13,
  IFERROR(
    SUMIFS(
      [1]Склад!$F$14:$F$279,
      [1]Склад!$B$14:$B$279, A14,
      [1]Склад!$E$14:$E$279, "Итог на конец недели"
    ),
    ""
  ),
  ""
)</f>
        <v>5040</v>
      </c>
      <c r="D14" s="5">
        <f>IF(
  $D$1=[1]Склад!$G$13,
  IFERROR(
    SUMIFS(
      [1]Склад!$G$14:$G$279,
      [1]Склад!$B$14:$B$279, A14,
      [1]Склад!$E$14:$E$279, "Итог на конец недели"
    ),
    ""
  ),
  ""
)</f>
        <v>33162</v>
      </c>
      <c r="E14" s="5">
        <f>IF(
  $E$1=[1]Склад!$H$13,
  IFERROR(
    SUMIFS(
      [1]Склад!$H$14:$H$279,
      [1]Склад!$B$14:$B$279, A14,
      [1]Склад!$E$14:$E$279, "Итог на конец недели"
    ),
    ""
  ),
  ""
)</f>
        <v>42228</v>
      </c>
      <c r="F14" s="5">
        <f>IF(
  $F$1=[1]Склад!$I$13,
  IFERROR(
    SUMIFS(
      [1]Склад!$I$14:$I$279,
      [1]Склад!$B$14:$B$279, A14,
      [1]Склад!$E$14:$E$279, "Итог на конец недели"
    ),
    ""
  ),
  ""
)</f>
        <v>53224</v>
      </c>
      <c r="G14" s="5">
        <f>IF(
  $G$1=[1]Склад!$J$13,
  IFERROR(
    SUMIFS(
      [1]Склад!$J$14:$J$279,
      [1]Склад!$B$14:$B$279, A14,
      [1]Склад!$E$14:$E$279, "Итог на конец недели"
    ),
    ""
  ),
  ""
)</f>
        <v>0</v>
      </c>
      <c r="H14" s="5">
        <f>IF(
  $H$1=[1]Склад!$K$13,
  IFERROR(
    SUMIFS(
      [1]Склад!$K$14:$K$279,
      [1]Склад!$B$14:$B$279, A14,
      [1]Склад!$E$14:$E$279, "Итог на конец недели"
    ),
    ""
  ),
  ""
)</f>
        <v>30994</v>
      </c>
      <c r="I14" s="5">
        <f>IF(
  $I$1=[1]Склад!$L$13,
  IFERROR(
    SUMIFS(
      [1]Склад!$L$14:$L$279,
      [1]Склад!$B$14:$B$279, A14,
      [1]Склад!$E$14:$E$279, "Итог на конец недели"
    ),
    ""
  ),
  ""
)</f>
        <v>3420</v>
      </c>
      <c r="J14" s="12">
        <f>IF(
  $J$1=[1]Склад!$O$13,
  IFERROR(
    SUMIFS(
      [1]Склад!$O$14:$O$279,
      [1]Склад!$B$14:$B$279, A14,
      [1]Склад!$E$14:$E$279, "Итог на конец недели"
    ),
    ""
  ),
  ""
)</f>
        <v>1772</v>
      </c>
    </row>
    <row r="15" spans="1:10" x14ac:dyDescent="0.25">
      <c r="A15" s="21">
        <v>14</v>
      </c>
      <c r="B15" s="22">
        <v>4</v>
      </c>
      <c r="C15" s="5">
        <f>IF(
  $C$1=[1]Склад!$F$13,
  IFERROR(
    SUMIFS(
      [1]Склад!$F$14:$F$279,
      [1]Склад!$B$14:$B$279, A15,
      [1]Склад!$E$14:$E$279, "Итог на конец недели"
    ),
    ""
  ),
  ""
)</f>
        <v>5040</v>
      </c>
      <c r="D15" s="5">
        <f>IF(
  $D$1=[1]Склад!$G$13,
  IFERROR(
    SUMIFS(
      [1]Склад!$G$14:$G$279,
      [1]Склад!$B$14:$B$279, A15,
      [1]Склад!$E$14:$E$279, "Итог на конец недели"
    ),
    ""
  ),
  ""
)</f>
        <v>29862</v>
      </c>
      <c r="E15" s="5">
        <f>IF(
  $E$1=[1]Склад!$H$13,
  IFERROR(
    SUMIFS(
      [1]Склад!$H$14:$H$279,
      [1]Склад!$B$14:$B$279, A15,
      [1]Склад!$E$14:$E$279, "Итог на конец недели"
    ),
    ""
  ),
  ""
)</f>
        <v>39728</v>
      </c>
      <c r="F15" s="5">
        <f>IF(
  $F$1=[1]Склад!$I$13,
  IFERROR(
    SUMIFS(
      [1]Склад!$I$14:$I$279,
      [1]Склад!$B$14:$B$279, A15,
      [1]Склад!$E$14:$E$279, "Итог на конец недели"
    ),
    ""
  ),
  ""
)</f>
        <v>47104</v>
      </c>
      <c r="G15" s="5">
        <f>IF(
  $G$1=[1]Склад!$J$13,
  IFERROR(
    SUMIFS(
      [1]Склад!$J$14:$J$279,
      [1]Склад!$B$14:$B$279, A15,
      [1]Склад!$E$14:$E$279, "Итог на конец недели"
    ),
    ""
  ),
  ""
)</f>
        <v>0</v>
      </c>
      <c r="H15" s="5">
        <f>IF(
  $H$1=[1]Склад!$K$13,
  IFERROR(
    SUMIFS(
      [1]Склад!$K$14:$K$279,
      [1]Склад!$B$14:$B$279, A15,
      [1]Склад!$E$14:$E$279, "Итог на конец недели"
    ),
    ""
  ),
  ""
)</f>
        <v>29764</v>
      </c>
      <c r="I15" s="5">
        <f>IF(
  $I$1=[1]Склад!$L$13,
  IFERROR(
    SUMIFS(
      [1]Склад!$L$14:$L$279,
      [1]Склад!$B$14:$B$279, A15,
      [1]Склад!$E$14:$E$279, "Итог на конец недели"
    ),
    ""
  ),
  ""
)</f>
        <v>3420</v>
      </c>
      <c r="J15" s="12">
        <f>IF(
  $J$1=[1]Склад!$O$13,
  IFERROR(
    SUMIFS(
      [1]Склад!$O$14:$O$279,
      [1]Склад!$B$14:$B$279, A15,
      [1]Склад!$E$14:$E$279, "Итог на конец недели"
    ),
    ""
  ),
  ""
)</f>
        <v>1326</v>
      </c>
    </row>
    <row r="16" spans="1:10" x14ac:dyDescent="0.25">
      <c r="A16" s="21">
        <v>15</v>
      </c>
      <c r="B16" s="22">
        <v>4</v>
      </c>
      <c r="C16" s="5">
        <f>IF(
  $C$1=[1]Склад!$F$13,
  IFERROR(
    SUMIFS(
      [1]Склад!$F$14:$F$279,
      [1]Склад!$B$14:$B$279, A16,
      [1]Склад!$E$14:$E$279, "Итог на конец недели"
    ),
    ""
  ),
  ""
)</f>
        <v>5040</v>
      </c>
      <c r="D16" s="5">
        <f>IF(
  $D$1=[1]Склад!$G$13,
  IFERROR(
    SUMIFS(
      [1]Склад!$G$14:$G$279,
      [1]Склад!$B$14:$B$279, A16,
      [1]Склад!$E$14:$E$279, "Итог на конец недели"
    ),
    ""
  ),
  ""
)</f>
        <v>26790</v>
      </c>
      <c r="E16" s="5">
        <f>IF(
  $E$1=[1]Склад!$H$13,
  IFERROR(
    SUMIFS(
      [1]Склад!$H$14:$H$279,
      [1]Склад!$B$14:$B$279, A16,
      [1]Склад!$E$14:$E$279, "Итог на конец недели"
    ),
    ""
  ),
  ""
)</f>
        <v>37168</v>
      </c>
      <c r="F16" s="5">
        <f>IF(
  $F$1=[1]Склад!$I$13,
  IFERROR(
    SUMIFS(
      [1]Склад!$I$14:$I$279,
      [1]Склад!$B$14:$B$279, A16,
      [1]Склад!$E$14:$E$279, "Итог на конец недели"
    ),
    ""
  ),
  ""
)</f>
        <v>45056</v>
      </c>
      <c r="G16" s="5">
        <f>IF(
  $G$1=[1]Склад!$J$13,
  IFERROR(
    SUMIFS(
      [1]Склад!$J$14:$J$279,
      [1]Склад!$B$14:$B$279, A16,
      [1]Склад!$E$14:$E$279, "Итог на конец недели"
    ),
    ""
  ),
  ""
)</f>
        <v>0</v>
      </c>
      <c r="H16" s="5">
        <f>IF(
  $H$1=[1]Склад!$K$13,
  IFERROR(
    SUMIFS(
      [1]Склад!$K$14:$K$279,
      [1]Склад!$B$14:$B$279, A16,
      [1]Склад!$E$14:$E$279, "Итог на конец недели"
    ),
    ""
  ),
  ""
)</f>
        <v>28248</v>
      </c>
      <c r="I16" s="5">
        <f>IF(
  $I$1=[1]Склад!$L$13,
  IFERROR(
    SUMIFS(
      [1]Склад!$L$14:$L$279,
      [1]Склад!$B$14:$B$279, A16,
      [1]Склад!$E$14:$E$279, "Итог на конец недели"
    ),
    ""
  ),
  ""
)</f>
        <v>3420</v>
      </c>
      <c r="J16" s="12">
        <f>IF(
  $J$1=[1]Склад!$O$13,
  IFERROR(
    SUMIFS(
      [1]Склад!$O$14:$O$279,
      [1]Склад!$B$14:$B$279, A16,
      [1]Склад!$E$14:$E$279, "Итог на конец недели"
    ),
    ""
  ),
  ""
)</f>
        <v>1092</v>
      </c>
    </row>
    <row r="17" spans="1:10" x14ac:dyDescent="0.25">
      <c r="A17" s="21">
        <v>16</v>
      </c>
      <c r="B17" s="22">
        <v>4</v>
      </c>
      <c r="C17" s="5">
        <f>IF(
  $C$1=[1]Склад!$F$13,
  IFERROR(
    SUMIFS(
      [1]Склад!$F$14:$F$279,
      [1]Склад!$B$14:$B$279, A17,
      [1]Склад!$E$14:$E$279, "Итог на конец недели"
    ),
    ""
  ),
  ""
)</f>
        <v>5040</v>
      </c>
      <c r="D17" s="5">
        <f>IF(
  $D$1=[1]Склад!$G$13,
  IFERROR(
    SUMIFS(
      [1]Склад!$G$14:$G$279,
      [1]Склад!$B$14:$B$279, A17,
      [1]Склад!$E$14:$E$279, "Итог на конец недели"
    ),
    ""
  ),
  ""
)</f>
        <v>23478</v>
      </c>
      <c r="E17" s="5">
        <f>IF(
  $E$1=[1]Склад!$H$13,
  IFERROR(
    SUMIFS(
      [1]Склад!$H$14:$H$279,
      [1]Склад!$B$14:$B$279, A17,
      [1]Склад!$E$14:$E$279, "Итог на конец недели"
    ),
    ""
  ),
  ""
)</f>
        <v>36144</v>
      </c>
      <c r="F17" s="5">
        <f>IF(
  $F$1=[1]Склад!$I$13,
  IFERROR(
    SUMIFS(
      [1]Склад!$I$14:$I$279,
      [1]Склад!$B$14:$B$279, A17,
      [1]Склад!$E$14:$E$279, "Итог на конец недели"
    ),
    ""
  ),
  ""
)</f>
        <v>38912</v>
      </c>
      <c r="G17" s="5">
        <f>IF(
  $G$1=[1]Склад!$J$13,
  IFERROR(
    SUMIFS(
      [1]Склад!$J$14:$J$279,
      [1]Склад!$B$14:$B$279, A17,
      [1]Склад!$E$14:$E$279, "Итог на конец недели"
    ),
    ""
  ),
  ""
)</f>
        <v>0</v>
      </c>
      <c r="H17" s="5">
        <f>IF(
  $H$1=[1]Склад!$K$13,
  IFERROR(
    SUMIFS(
      [1]Склад!$K$14:$K$279,
      [1]Склад!$B$14:$B$279, A17,
      [1]Склад!$E$14:$E$279, "Итог на конец недели"
    ),
    ""
  ),
  ""
)</f>
        <v>26400</v>
      </c>
      <c r="I17" s="5">
        <f>IF(
  $I$1=[1]Склад!$L$13,
  IFERROR(
    SUMIFS(
      [1]Склад!$L$14:$L$279,
      [1]Склад!$B$14:$B$279, A17,
      [1]Склад!$E$14:$E$279, "Итог на конец недели"
    ),
    ""
  ),
  ""
)</f>
        <v>3420</v>
      </c>
      <c r="J17" s="12">
        <f>IF(
  $J$1=[1]Склад!$O$13,
  IFERROR(
    SUMIFS(
      [1]Склад!$O$14:$O$279,
      [1]Склад!$B$14:$B$279, A17,
      [1]Склад!$E$14:$E$279, "Итог на конец недели"
    ),
    ""
  ),
  ""
)</f>
        <v>851</v>
      </c>
    </row>
    <row r="18" spans="1:10" x14ac:dyDescent="0.25">
      <c r="A18" s="21">
        <v>17</v>
      </c>
      <c r="B18" s="22">
        <v>4</v>
      </c>
      <c r="C18" s="5">
        <f>IF(
  $C$1=[1]Склад!$F$13,
  IFERROR(
    SUMIFS(
      [1]Склад!$F$14:$F$279,
      [1]Склад!$B$14:$B$279, A18,
      [1]Склад!$E$14:$E$279, "Итог на конец недели"
    ),
    ""
  ),
  ""
)</f>
        <v>5040</v>
      </c>
      <c r="D18" s="5">
        <f>IF(
  $D$1=[1]Склад!$G$13,
  IFERROR(
    SUMIFS(
      [1]Склад!$G$14:$G$279,
      [1]Склад!$B$14:$B$279, A18,
      [1]Склад!$E$14:$E$279, "Итог на конец недели"
    ),
    ""
  ),
  ""
)</f>
        <v>20918</v>
      </c>
      <c r="E18" s="5">
        <f>IF(
  $E$1=[1]Склад!$H$13,
  IFERROR(
    SUMIFS(
      [1]Склад!$H$14:$H$279,
      [1]Склад!$B$14:$B$279, A18,
      [1]Склад!$E$14:$E$279, "Итог на конец недели"
    ),
    ""
  ),
  ""
)</f>
        <v>34623</v>
      </c>
      <c r="F18" s="5">
        <f>IF(
  $F$1=[1]Склад!$I$13,
  IFERROR(
    SUMIFS(
      [1]Склад!$I$14:$I$279,
      [1]Склад!$B$14:$B$279, A18,
      [1]Склад!$E$14:$E$279, "Итог на конец недели"
    ),
    ""
  ),
  ""
)</f>
        <v>30720</v>
      </c>
      <c r="G18" s="5">
        <f>IF(
  $G$1=[1]Склад!$J$13,
  IFERROR(
    SUMIFS(
      [1]Склад!$J$14:$J$279,
      [1]Склад!$B$14:$B$279, A18,
      [1]Склад!$E$14:$E$279, "Итог на конец недели"
    ),
    ""
  ),
  ""
)</f>
        <v>0</v>
      </c>
      <c r="H18" s="5">
        <f>IF(
  $H$1=[1]Склад!$K$13,
  IFERROR(
    SUMIFS(
      [1]Склад!$K$14:$K$279,
      [1]Склад!$B$14:$B$279, A18,
      [1]Склад!$E$14:$E$279, "Итог на конец недели"
    ),
    ""
  ),
  ""
)</f>
        <v>25702</v>
      </c>
      <c r="I18" s="5">
        <f>IF(
  $I$1=[1]Склад!$L$13,
  IFERROR(
    SUMIFS(
      [1]Склад!$L$14:$L$279,
      [1]Склад!$B$14:$B$279, A18,
      [1]Склад!$E$14:$E$279, "Итог на конец недели"
    ),
    ""
  ),
  ""
)</f>
        <v>3204</v>
      </c>
      <c r="J18" s="12">
        <f>IF(
  $J$1=[1]Склад!$O$13,
  IFERROR(
    SUMIFS(
      [1]Склад!$O$14:$O$279,
      [1]Склад!$B$14:$B$279, A18,
      [1]Склад!$E$14:$E$279, "Итог на конец недели"
    ),
    ""
  ),
  ""
)</f>
        <v>640</v>
      </c>
    </row>
    <row r="19" spans="1:10" x14ac:dyDescent="0.25">
      <c r="A19" s="21">
        <v>18</v>
      </c>
      <c r="B19" s="22">
        <v>5</v>
      </c>
      <c r="C19" s="5">
        <f>IF(
  $C$1=[1]Склад!$F$13,
  IFERROR(
    SUMIFS(
      [1]Склад!$F$14:$F$279,
      [1]Склад!$B$14:$B$279, A19,
      [1]Склад!$E$14:$E$279, "Итог на конец недели"
    ),
    ""
  ),
  ""
)</f>
        <v>5040</v>
      </c>
      <c r="D19" s="5">
        <f>IF(
  $D$1=[1]Склад!$G$13,
  IFERROR(
    SUMIFS(
      [1]Склад!$G$14:$G$279,
      [1]Склад!$B$14:$B$279, A19,
      [1]Склад!$E$14:$E$279, "Итог на конец недели"
    ),
    ""
  ),
  ""
)</f>
        <v>23984</v>
      </c>
      <c r="E19" s="5">
        <f>IF(
  $E$1=[1]Склад!$H$13,
  IFERROR(
    SUMIFS(
      [1]Склад!$H$14:$H$279,
      [1]Склад!$B$14:$B$279, A19,
      [1]Склад!$E$14:$E$279, "Итог на конец недели"
    ),
    ""
  ),
  ""
)</f>
        <v>44112</v>
      </c>
      <c r="F19" s="5">
        <f>IF(
  $F$1=[1]Склад!$I$13,
  IFERROR(
    SUMIFS(
      [1]Склад!$I$14:$I$279,
      [1]Склад!$B$14:$B$279, A19,
      [1]Склад!$E$14:$E$279, "Итог на конец недели"
    ),
    ""
  ),
  ""
)</f>
        <v>39040</v>
      </c>
      <c r="G19" s="5">
        <f>IF(
  $G$1=[1]Склад!$J$13,
  IFERROR(
    SUMIFS(
      [1]Склад!$J$14:$J$279,
      [1]Склад!$B$14:$B$279, A19,
      [1]Склад!$E$14:$E$279, "Итог на конец недели"
    ),
    ""
  ),
  ""
)</f>
        <v>0</v>
      </c>
      <c r="H19" s="5">
        <f>IF(
  $H$1=[1]Склад!$K$13,
  IFERROR(
    SUMIFS(
      [1]Склад!$K$14:$K$279,
      [1]Склад!$B$14:$B$279, A19,
      [1]Склад!$E$14:$E$279, "Итог на конец недели"
    ),
    ""
  ),
  ""
)</f>
        <v>25281</v>
      </c>
      <c r="I19" s="5">
        <f>IF(
  $I$1=[1]Склад!$L$13,
  IFERROR(
    SUMIFS(
      [1]Склад!$L$14:$L$279,
      [1]Склад!$B$14:$B$279, A19,
      [1]Склад!$E$14:$E$279, "Итог на конец недели"
    ),
    ""
  ),
  ""
)</f>
        <v>3204</v>
      </c>
      <c r="J19" s="12">
        <f>IF(
  $J$1=[1]Склад!$O$13,
  IFERROR(
    SUMIFS(
      [1]Склад!$O$14:$O$279,
      [1]Склад!$B$14:$B$279, A19,
      [1]Склад!$E$14:$E$279, "Итог на конец недели"
    ),
    ""
  ),
  ""
)</f>
        <v>499</v>
      </c>
    </row>
    <row r="20" spans="1:10" x14ac:dyDescent="0.25">
      <c r="A20" s="21">
        <v>19</v>
      </c>
      <c r="B20" s="22">
        <v>5</v>
      </c>
      <c r="C20" s="5">
        <f>IF(
  $C$1=[1]Склад!$F$13,
  IFERROR(
    SUMIFS(
      [1]Склад!$F$14:$F$279,
      [1]Склад!$B$14:$B$279, A20,
      [1]Склад!$E$14:$E$279, "Итог на конец недели"
    ),
    ""
  ),
  ""
)</f>
        <v>5040</v>
      </c>
      <c r="D20" s="5">
        <f>IF(
  $D$1=[1]Склад!$G$13,
  IFERROR(
    SUMIFS(
      [1]Склад!$G$14:$G$279,
      [1]Склад!$B$14:$B$279, A20,
      [1]Склад!$E$14:$E$279, "Итог на конец недели"
    ),
    ""
  ),
  ""
)</f>
        <v>21580</v>
      </c>
      <c r="E20" s="5">
        <f>IF(
  $E$1=[1]Склад!$H$13,
  IFERROR(
    SUMIFS(
      [1]Склад!$H$14:$H$279,
      [1]Склад!$B$14:$B$279, A20,
      [1]Склад!$E$14:$E$279, "Итог на конец недели"
    ),
    ""
  ),
  ""
)</f>
        <v>40880</v>
      </c>
      <c r="F20" s="5">
        <f>IF(
  $F$1=[1]Склад!$I$13,
  IFERROR(
    SUMIFS(
      [1]Склад!$I$14:$I$279,
      [1]Склад!$B$14:$B$279, A20,
      [1]Склад!$E$14:$E$279, "Итог на конец недели"
    ),
    ""
  ),
  ""
)</f>
        <v>37520</v>
      </c>
      <c r="G20" s="5">
        <f>IF(
  $G$1=[1]Склад!$J$13,
  IFERROR(
    SUMIFS(
      [1]Склад!$J$14:$J$279,
      [1]Склад!$B$14:$B$279, A20,
      [1]Склад!$E$14:$E$279, "Итог на конец недели"
    ),
    ""
  ),
  ""
)</f>
        <v>0</v>
      </c>
      <c r="H20" s="5">
        <f>IF(
  $H$1=[1]Склад!$K$13,
  IFERROR(
    SUMIFS(
      [1]Склад!$K$14:$K$279,
      [1]Склад!$B$14:$B$279, A20,
      [1]Склад!$E$14:$E$279, "Итог на конец недели"
    ),
    ""
  ),
  ""
)</f>
        <v>24769</v>
      </c>
      <c r="I20" s="5">
        <f>IF(
  $I$1=[1]Склад!$L$13,
  IFERROR(
    SUMIFS(
      [1]Склад!$L$14:$L$279,
      [1]Склад!$B$14:$B$279, A20,
      [1]Склад!$E$14:$E$279, "Итог на конец недели"
    ),
    ""
  ),
  ""
)</f>
        <v>3204</v>
      </c>
      <c r="J20" s="12">
        <f>IF(
  $J$1=[1]Склад!$O$13,
  IFERROR(
    SUMIFS(
      [1]Склад!$O$14:$O$279,
      [1]Склад!$B$14:$B$279, A20,
      [1]Склад!$E$14:$E$279, "Итог на конец недели"
    ),
    ""
  ),
  ""
)</f>
        <v>418</v>
      </c>
    </row>
    <row r="21" spans="1:10" x14ac:dyDescent="0.25">
      <c r="A21" s="21">
        <v>20</v>
      </c>
      <c r="B21" s="22">
        <v>5</v>
      </c>
      <c r="C21" s="5">
        <f>IF(
  $C$1=[1]Склад!$F$13,
  IFERROR(
    SUMIFS(
      [1]Склад!$F$14:$F$279,
      [1]Склад!$B$14:$B$279, A21,
      [1]Склад!$E$14:$E$279, "Итог на конец недели"
    ),
    ""
  ),
  ""
)</f>
        <v>5040</v>
      </c>
      <c r="D21" s="5">
        <f>IF(
  $D$1=[1]Склад!$G$13,
  IFERROR(
    SUMIFS(
      [1]Склад!$G$14:$G$279,
      [1]Склад!$B$14:$B$279, A21,
      [1]Склад!$E$14:$E$279, "Итог на конец недели"
    ),
    ""
  ),
  ""
)</f>
        <v>28664</v>
      </c>
      <c r="E21" s="5">
        <f>IF(
  $E$1=[1]Склад!$H$13,
  IFERROR(
    SUMIFS(
      [1]Склад!$H$14:$H$279,
      [1]Склад!$B$14:$B$279, A21,
      [1]Склад!$E$14:$E$279, "Итог на конец недели"
    ),
    ""
  ),
  ""
)</f>
        <v>36240</v>
      </c>
      <c r="F21" s="5">
        <f>IF(
  $F$1=[1]Склад!$I$13,
  IFERROR(
    SUMIFS(
      [1]Склад!$I$14:$I$279,
      [1]Склад!$B$14:$B$279, A21,
      [1]Склад!$E$14:$E$279, "Итог на конец недели"
    ),
    ""
  ),
  ""
)</f>
        <v>36656</v>
      </c>
      <c r="G21" s="5">
        <f>IF(
  $G$1=[1]Склад!$J$13,
  IFERROR(
    SUMIFS(
      [1]Склад!$J$14:$J$279,
      [1]Склад!$B$14:$B$279, A21,
      [1]Склад!$E$14:$E$279, "Итог на конец недели"
    ),
    ""
  ),
  ""
)</f>
        <v>0</v>
      </c>
      <c r="H21" s="5">
        <f>IF(
  $H$1=[1]Склад!$K$13,
  IFERROR(
    SUMIFS(
      [1]Склад!$K$14:$K$279,
      [1]Склад!$B$14:$B$279, A21,
      [1]Склад!$E$14:$E$279, "Итог на конец недели"
    ),
    ""
  ),
  ""
)</f>
        <v>24294</v>
      </c>
      <c r="I21" s="5">
        <f>IF(
  $I$1=[1]Склад!$L$13,
  IFERROR(
    SUMIFS(
      [1]Склад!$L$14:$L$279,
      [1]Склад!$B$14:$B$279, A21,
      [1]Склад!$E$14:$E$279, "Итог на конец недели"
    ),
    ""
  ),
  ""
)</f>
        <v>3204</v>
      </c>
      <c r="J21" s="12">
        <f>IF(
  $J$1=[1]Склад!$O$13,
  IFERROR(
    SUMIFS(
      [1]Склад!$O$14:$O$279,
      [1]Склад!$B$14:$B$279, A21,
      [1]Склад!$E$14:$E$279, "Итог на конец недели"
    ),
    ""
  ),
  ""
)</f>
        <v>331</v>
      </c>
    </row>
    <row r="22" spans="1:10" x14ac:dyDescent="0.25">
      <c r="A22" s="21">
        <v>21</v>
      </c>
      <c r="B22" s="22">
        <v>5</v>
      </c>
      <c r="C22" s="5">
        <f>IF(
  $C$1=[1]Склад!$F$13,
  IFERROR(
    SUMIFS(
      [1]Склад!$F$14:$F$279,
      [1]Склад!$B$14:$B$279, A22,
      [1]Склад!$E$14:$E$279, "Итог на конец недели"
    ),
    ""
  ),
  ""
)</f>
        <v>5040</v>
      </c>
      <c r="D22" s="5">
        <f>IF(
  $D$1=[1]Склад!$G$13,
  IFERROR(
    SUMIFS(
      [1]Склад!$G$14:$G$279,
      [1]Склад!$B$14:$B$279, A22,
      [1]Склад!$E$14:$E$279, "Итог на конец недели"
    ),
    ""
  ),
  ""
)</f>
        <v>44800</v>
      </c>
      <c r="E22" s="5">
        <f>IF(
  $E$1=[1]Склад!$H$13,
  IFERROR(
    SUMIFS(
      [1]Склад!$H$14:$H$279,
      [1]Склад!$B$14:$B$279, A22,
      [1]Склад!$E$14:$E$279, "Итог на конец недели"
    ),
    ""
  ),
  ""
)</f>
        <v>52640</v>
      </c>
      <c r="F22" s="5">
        <f>IF(
  $F$1=[1]Склад!$I$13,
  IFERROR(
    SUMIFS(
      [1]Склад!$I$14:$I$279,
      [1]Склад!$B$14:$B$279, A22,
      [1]Склад!$E$14:$E$279, "Итог на конец недели"
    ),
    ""
  ),
  ""
)</f>
        <v>53760</v>
      </c>
      <c r="G22" s="5">
        <f>IF(
  $G$1=[1]Склад!$J$13,
  IFERROR(
    SUMIFS(
      [1]Склад!$J$14:$J$279,
      [1]Склад!$B$14:$B$279, A22,
      [1]Склад!$E$14:$E$279, "Итог на конец недели"
    ),
    ""
  ),
  ""
)</f>
        <v>0</v>
      </c>
      <c r="H22" s="5">
        <f>IF(
  $H$1=[1]Склад!$K$13,
  IFERROR(
    SUMIFS(
      [1]Склад!$K$14:$K$279,
      [1]Склад!$B$14:$B$279, A22,
      [1]Склад!$E$14:$E$279, "Итог на конец недели"
    ),
    ""
  ),
  ""
)</f>
        <v>24000</v>
      </c>
      <c r="I22" s="5">
        <f>IF(
  $I$1=[1]Склад!$L$13,
  IFERROR(
    SUMIFS(
      [1]Склад!$L$14:$L$279,
      [1]Склад!$B$14:$B$279, A22,
      [1]Склад!$E$14:$E$279, "Итог на конец недели"
    ),
    ""
  ),
  ""
)</f>
        <v>3204</v>
      </c>
      <c r="J22" s="12">
        <f>IF(
  $J$1=[1]Склад!$O$13,
  IFERROR(
    SUMIFS(
      [1]Склад!$O$14:$O$279,
      [1]Склад!$B$14:$B$279, A22,
      [1]Склад!$E$14:$E$279, "Итог на конец недели"
    ),
    ""
  ),
  ""
)</f>
        <v>1009</v>
      </c>
    </row>
    <row r="23" spans="1:10" x14ac:dyDescent="0.25">
      <c r="A23" s="21">
        <v>22</v>
      </c>
      <c r="B23" s="22">
        <v>5</v>
      </c>
      <c r="C23" s="5">
        <f>IF(
  $C$1=[1]Склад!$F$13,
  IFERROR(
    SUMIFS(
      [1]Склад!$F$14:$F$279,
      [1]Склад!$B$14:$B$279, A23,
      [1]Склад!$E$14:$E$279, "Итог на конец недели"
    ),
    ""
  ),
  ""
)</f>
        <v>5040</v>
      </c>
      <c r="D23" s="5">
        <f>IF(
  $D$1=[1]Склад!$G$13,
  IFERROR(
    SUMIFS(
      [1]Склад!$G$14:$G$279,
      [1]Склад!$B$14:$B$279, A23,
      [1]Склад!$E$14:$E$279, "Итог на конец недели"
    ),
    ""
  ),
  ""
)</f>
        <v>50739</v>
      </c>
      <c r="E23" s="5">
        <f>IF(
  $E$1=[1]Склад!$H$13,
  IFERROR(
    SUMIFS(
      [1]Склад!$H$14:$H$279,
      [1]Склад!$B$14:$B$279, A23,
      [1]Склад!$E$14:$E$279, "Итог на конец недели"
    ),
    ""
  ),
  ""
)</f>
        <v>50788</v>
      </c>
      <c r="F23" s="5">
        <f>IF(
  $F$1=[1]Склад!$I$13,
  IFERROR(
    SUMIFS(
      [1]Склад!$I$14:$I$279,
      [1]Склад!$B$14:$B$279, A23,
      [1]Склад!$E$14:$E$279, "Итог на конец недели"
    ),
    ""
  ),
  ""
)</f>
        <v>55998</v>
      </c>
      <c r="G23" s="5">
        <f>IF(
  $G$1=[1]Склад!$J$13,
  IFERROR(
    SUMIFS(
      [1]Склад!$J$14:$J$279,
      [1]Склад!$B$14:$B$279, A23,
      [1]Склад!$E$14:$E$279, "Итог на конец недели"
    ),
    ""
  ),
  ""
)</f>
        <v>0</v>
      </c>
      <c r="H23" s="5">
        <f>IF(
  $H$1=[1]Склад!$K$13,
  IFERROR(
    SUMIFS(
      [1]Склад!$K$14:$K$279,
      [1]Склад!$B$14:$B$279, A23,
      [1]Склад!$E$14:$E$279, "Итог на конец недели"
    ),
    ""
  ),
  ""
)</f>
        <v>23789</v>
      </c>
      <c r="I23" s="5">
        <f>IF(
  $I$1=[1]Склад!$L$13,
  IFERROR(
    SUMIFS(
      [1]Склад!$L$14:$L$279,
      [1]Склад!$B$14:$B$279, A23,
      [1]Склад!$E$14:$E$279, "Итог на конец недели"
    ),
    ""
  ),
  ""
)</f>
        <v>3204</v>
      </c>
      <c r="J23" s="12">
        <f>IF(
  $J$1=[1]Склад!$O$13,
  IFERROR(
    SUMIFS(
      [1]Склад!$O$14:$O$279,
      [1]Склад!$B$14:$B$279, A23,
      [1]Склад!$E$14:$E$279, "Итог на конец недели"
    ),
    ""
  ),
  ""
)</f>
        <v>877</v>
      </c>
    </row>
    <row r="24" spans="1:10" x14ac:dyDescent="0.25">
      <c r="A24" s="21">
        <v>23</v>
      </c>
      <c r="B24" s="22">
        <v>6</v>
      </c>
      <c r="C24" s="5">
        <f>IF(
  $C$1=[1]Склад!$F$13,
  IFERROR(
    SUMIFS(
      [1]Склад!$F$14:$F$279,
      [1]Склад!$B$14:$B$279, A24,
      [1]Склад!$E$14:$E$279, "Итог на конец недели"
    ),
    ""
  ),
  ""
)</f>
        <v>4680</v>
      </c>
      <c r="D24" s="5">
        <f>IF(
  $D$1=[1]Склад!$G$13,
  IFERROR(
    SUMIFS(
      [1]Склад!$G$14:$G$279,
      [1]Склад!$B$14:$B$279, A24,
      [1]Склад!$E$14:$E$279, "Итог на конец недели"
    ),
    ""
  ),
  ""
)</f>
        <v>57976</v>
      </c>
      <c r="E24" s="5">
        <f>IF(
  $E$1=[1]Склад!$H$13,
  IFERROR(
    SUMIFS(
      [1]Склад!$H$14:$H$279,
      [1]Склад!$B$14:$B$279, A24,
      [1]Склад!$E$14:$E$279, "Итог на конец недели"
    ),
    ""
  ),
  ""
)</f>
        <v>49136</v>
      </c>
      <c r="F24" s="5">
        <f>IF(
  $F$1=[1]Склад!$I$13,
  IFERROR(
    SUMIFS(
      [1]Склад!$I$14:$I$279,
      [1]Склад!$B$14:$B$279, A24,
      [1]Склад!$E$14:$E$279, "Итог на конец недели"
    ),
    ""
  ),
  ""
)</f>
        <v>54318</v>
      </c>
      <c r="G24" s="5">
        <f>IF(
  $G$1=[1]Склад!$J$13,
  IFERROR(
    SUMIFS(
      [1]Склад!$J$14:$J$279,
      [1]Склад!$B$14:$B$279, A24,
      [1]Склад!$E$14:$E$279, "Итог на конец недели"
    ),
    ""
  ),
  ""
)</f>
        <v>20000</v>
      </c>
      <c r="H24" s="5">
        <f>IF(
  $H$1=[1]Склад!$K$13,
  IFERROR(
    SUMIFS(
      [1]Склад!$K$14:$K$279,
      [1]Склад!$B$14:$B$279, A24,
      [1]Склад!$E$14:$E$279, "Итог на конец недели"
    ),
    ""
  ),
  ""
)</f>
        <v>23586</v>
      </c>
      <c r="I24" s="5">
        <f>IF(
  $I$1=[1]Склад!$L$13,
  IFERROR(
    SUMIFS(
      [1]Склад!$L$14:$L$279,
      [1]Склад!$B$14:$B$279, A24,
      [1]Склад!$E$14:$E$279, "Итог на конец недели"
    ),
    ""
  ),
  ""
)</f>
        <v>3204</v>
      </c>
      <c r="J24" s="12">
        <f>IF(
  $J$1=[1]Склад!$O$13,
  IFERROR(
    SUMIFS(
      [1]Склад!$O$14:$O$279,
      [1]Склад!$B$14:$B$279, A24,
      [1]Склад!$E$14:$E$279, "Итог на конец недели"
    ),
    ""
  ),
  ""
)</f>
        <v>751</v>
      </c>
    </row>
    <row r="25" spans="1:10" x14ac:dyDescent="0.25">
      <c r="A25" s="21">
        <v>24</v>
      </c>
      <c r="B25" s="22">
        <v>6</v>
      </c>
      <c r="C25" s="5">
        <f>IF(
  $C$1=[1]Склад!$F$13,
  IFERROR(
    SUMIFS(
      [1]Склад!$F$14:$F$279,
      [1]Склад!$B$14:$B$279, A25,
      [1]Склад!$E$14:$E$279, "Итог на конец недели"
    ),
    ""
  ),
  ""
)</f>
        <v>3960</v>
      </c>
      <c r="D25" s="5">
        <f>IF(
  $D$1=[1]Склад!$G$13,
  IFERROR(
    SUMIFS(
      [1]Склад!$G$14:$G$279,
      [1]Склад!$B$14:$B$279, A25,
      [1]Склад!$E$14:$E$279, "Итог на конец недели"
    ),
    ""
  ),
  ""
)</f>
        <v>55264</v>
      </c>
      <c r="E25" s="5">
        <f>IF(
  $E$1=[1]Склад!$H$13,
  IFERROR(
    SUMIFS(
      [1]Склад!$H$14:$H$279,
      [1]Склад!$B$14:$B$279, A25,
      [1]Склад!$E$14:$E$279, "Итог на конец недели"
    ),
    ""
  ),
  ""
)</f>
        <v>47040</v>
      </c>
      <c r="F25" s="5">
        <f>IF(
  $F$1=[1]Склад!$I$13,
  IFERROR(
    SUMIFS(
      [1]Склад!$I$14:$I$279,
      [1]Склад!$B$14:$B$279, A25,
      [1]Склад!$E$14:$E$279, "Итог на конец недели"
    ),
    ""
  ),
  ""
)</f>
        <v>52572</v>
      </c>
      <c r="G25" s="5">
        <f>IF(
  $G$1=[1]Склад!$J$13,
  IFERROR(
    SUMIFS(
      [1]Склад!$J$14:$J$279,
      [1]Склад!$B$14:$B$279, A25,
      [1]Склад!$E$14:$E$279, "Итог на конец недели"
    ),
    ""
  ),
  ""
)</f>
        <v>20000</v>
      </c>
      <c r="H25" s="5">
        <f>IF(
  $H$1=[1]Склад!$K$13,
  IFERROR(
    SUMIFS(
      [1]Склад!$K$14:$K$279,
      [1]Склад!$B$14:$B$279, A25,
      [1]Склад!$E$14:$E$279, "Итог на конец недели"
    ),
    ""
  ),
  ""
)</f>
        <v>23277</v>
      </c>
      <c r="I25" s="5">
        <f>IF(
  $I$1=[1]Склад!$L$13,
  IFERROR(
    SUMIFS(
      [1]Склад!$L$14:$L$279,
      [1]Склад!$B$14:$B$279, A25,
      [1]Склад!$E$14:$E$279, "Итог на конец недели"
    ),
    ""
  ),
  ""
)</f>
        <v>3204</v>
      </c>
      <c r="J25" s="12">
        <f>IF(
  $J$1=[1]Склад!$O$13,
  IFERROR(
    SUMIFS(
      [1]Склад!$O$14:$O$279,
      [1]Склад!$B$14:$B$279, A25,
      [1]Склад!$E$14:$E$279, "Итог на конец недели"
    ),
    ""
  ),
  ""
)</f>
        <v>653</v>
      </c>
    </row>
    <row r="26" spans="1:10" x14ac:dyDescent="0.25">
      <c r="A26" s="21">
        <v>25</v>
      </c>
      <c r="B26" s="22">
        <v>6</v>
      </c>
      <c r="C26" s="5">
        <f>IF(
  $C$1=[1]Склад!$F$13,
  IFERROR(
    SUMIFS(
      [1]Склад!$F$14:$F$279,
      [1]Склад!$B$14:$B$279, A26,
      [1]Склад!$E$14:$E$279, "Итог на конец недели"
    ),
    ""
  ),
  ""
)</f>
        <v>3840</v>
      </c>
      <c r="D26" s="5">
        <f>IF(
  $D$1=[1]Склад!$G$13,
  IFERROR(
    SUMIFS(
      [1]Склад!$G$14:$G$279,
      [1]Склад!$B$14:$B$279, A26,
      [1]Склад!$E$14:$E$279, "Итог на конец недели"
    ),
    ""
  ),
  ""
)</f>
        <v>61726</v>
      </c>
      <c r="E26" s="5">
        <f>IF(
  $E$1=[1]Склад!$H$13,
  IFERROR(
    SUMIFS(
      [1]Склад!$H$14:$H$279,
      [1]Склад!$B$14:$B$279, A26,
      [1]Склад!$E$14:$E$279, "Итог на конец недели"
    ),
    ""
  ),
  ""
)</f>
        <v>44927</v>
      </c>
      <c r="F26" s="5">
        <f>IF(
  $F$1=[1]Склад!$I$13,
  IFERROR(
    SUMIFS(
      [1]Склад!$I$14:$I$279,
      [1]Склад!$B$14:$B$279, A26,
      [1]Склад!$E$14:$E$279, "Итог на конец недели"
    ),
    ""
  ),
  ""
)</f>
        <v>50760</v>
      </c>
      <c r="G26" s="5">
        <f>IF(
  $G$1=[1]Склад!$J$13,
  IFERROR(
    SUMIFS(
      [1]Склад!$J$14:$J$279,
      [1]Склад!$B$14:$B$279, A26,
      [1]Склад!$E$14:$E$279, "Итог на конец недели"
    ),
    ""
  ),
  ""
)</f>
        <v>20000</v>
      </c>
      <c r="H26" s="5">
        <f>IF(
  $H$1=[1]Склад!$K$13,
  IFERROR(
    SUMIFS(
      [1]Склад!$K$14:$K$279,
      [1]Склад!$B$14:$B$279, A26,
      [1]Склад!$E$14:$E$279, "Итог на конец недели"
    ),
    ""
  ),
  ""
)</f>
        <v>22961</v>
      </c>
      <c r="I26" s="5">
        <f>IF(
  $I$1=[1]Склад!$L$13,
  IFERROR(
    SUMIFS(
      [1]Склад!$L$14:$L$279,
      [1]Склад!$B$14:$B$279, A26,
      [1]Склад!$E$14:$E$279, "Итог на конец недели"
    ),
    ""
  ),
  ""
)</f>
        <v>3204</v>
      </c>
      <c r="J26" s="12">
        <f>IF(
  $J$1=[1]Склад!$O$13,
  IFERROR(
    SUMIFS(
      [1]Склад!$O$14:$O$279,
      [1]Склад!$B$14:$B$279, A26,
      [1]Склад!$E$14:$E$279, "Итог на конец недели"
    ),
    ""
  ),
  ""
)</f>
        <v>567</v>
      </c>
    </row>
    <row r="27" spans="1:10" x14ac:dyDescent="0.25">
      <c r="A27" s="21">
        <v>26</v>
      </c>
      <c r="B27" s="22">
        <v>6</v>
      </c>
      <c r="C27" s="5">
        <f>IF(
  $C$1=[1]Склад!$F$13,
  IFERROR(
    SUMIFS(
      [1]Склад!$F$14:$F$279,
      [1]Склад!$B$14:$B$279, A27,
      [1]Склад!$E$14:$E$279, "Итог на конец недели"
    ),
    ""
  ),
  ""
)</f>
        <v>3240</v>
      </c>
      <c r="D27" s="5">
        <f>IF(
  $D$1=[1]Склад!$G$13,
  IFERROR(
    SUMIFS(
      [1]Склад!$G$14:$G$279,
      [1]Склад!$B$14:$B$279, A27,
      [1]Склад!$E$14:$E$279, "Итог на конец недели"
    ),
    ""
  ),
  ""
)</f>
        <v>59357</v>
      </c>
      <c r="E27" s="5">
        <f>IF(
  $E$1=[1]Склад!$H$13,
  IFERROR(
    SUMIFS(
      [1]Склад!$H$14:$H$279,
      [1]Склад!$B$14:$B$279, A27,
      [1]Склад!$E$14:$E$279, "Итог на конец недели"
    ),
    ""
  ),
  ""
)</f>
        <v>47315</v>
      </c>
      <c r="F27" s="5">
        <f>IF(
  $F$1=[1]Склад!$I$13,
  IFERROR(
    SUMIFS(
      [1]Склад!$I$14:$I$279,
      [1]Склад!$B$14:$B$279, A27,
      [1]Склад!$E$14:$E$279, "Итог на конец недели"
    ),
    ""
  ),
  ""
)</f>
        <v>48904</v>
      </c>
      <c r="G27" s="5">
        <f>IF(
  $G$1=[1]Склад!$J$13,
  IFERROR(
    SUMIFS(
      [1]Склад!$J$14:$J$279,
      [1]Склад!$B$14:$B$279, A27,
      [1]Склад!$E$14:$E$279, "Итог на конец недели"
    ),
    ""
  ),
  ""
)</f>
        <v>19200</v>
      </c>
      <c r="H27" s="5">
        <f>IF(
  $H$1=[1]Склад!$K$13,
  IFERROR(
    SUMIFS(
      [1]Склад!$K$14:$K$279,
      [1]Склад!$B$14:$B$279, A27,
      [1]Склад!$E$14:$E$279, "Итог на конец недели"
    ),
    ""
  ),
  ""
)</f>
        <v>22659</v>
      </c>
      <c r="I27" s="5">
        <f>IF(
  $I$1=[1]Склад!$L$13,
  IFERROR(
    SUMIFS(
      [1]Склад!$L$14:$L$279,
      [1]Склад!$B$14:$B$279, A27,
      [1]Склад!$E$14:$E$279, "Итог на конец недели"
    ),
    ""
  ),
  ""
)</f>
        <v>3204</v>
      </c>
      <c r="J27" s="12">
        <f>IF(
  $J$1=[1]Склад!$O$13,
  IFERROR(
    SUMIFS(
      [1]Склад!$O$14:$O$279,
      [1]Склад!$B$14:$B$279, A27,
      [1]Склад!$E$14:$E$279, "Итог на конец недели"
    ),
    ""
  ),
  ""
)</f>
        <v>520</v>
      </c>
    </row>
    <row r="28" spans="1:10" x14ac:dyDescent="0.25">
      <c r="A28" s="21">
        <v>27</v>
      </c>
      <c r="B28" s="22">
        <v>6</v>
      </c>
      <c r="C28" s="5">
        <f>IF(
  $C$1=[1]Склад!$F$13,
  IFERROR(
    SUMIFS(
      [1]Склад!$F$14:$F$279,
      [1]Склад!$B$14:$B$279, A28,
      [1]Склад!$E$14:$E$279, "Итог на конец недели"
    ),
    ""
  ),
  ""
)</f>
        <v>2380</v>
      </c>
      <c r="D28" s="5">
        <f>IF(
  $D$1=[1]Склад!$G$13,
  IFERROR(
    SUMIFS(
      [1]Склад!$G$14:$G$279,
      [1]Склад!$B$14:$B$279, A28,
      [1]Склад!$E$14:$E$279, "Итог на конец недели"
    ),
    ""
  ),
  ""
)</f>
        <v>56892</v>
      </c>
      <c r="E28" s="5">
        <f>IF(
  $E$1=[1]Склад!$H$13,
  IFERROR(
    SUMIFS(
      [1]Склад!$H$14:$H$279,
      [1]Склад!$B$14:$B$279, A28,
      [1]Склад!$E$14:$E$279, "Итог на конец недели"
    ),
    ""
  ),
  ""
)</f>
        <v>44800</v>
      </c>
      <c r="F28" s="5">
        <f>IF(
  $F$1=[1]Склад!$I$13,
  IFERROR(
    SUMIFS(
      [1]Склад!$I$14:$I$279,
      [1]Склад!$B$14:$B$279, A28,
      [1]Склад!$E$14:$E$279, "Итог на конец недели"
    ),
    ""
  ),
  ""
)</f>
        <v>46903</v>
      </c>
      <c r="G28" s="5">
        <f>IF(
  $G$1=[1]Склад!$J$13,
  IFERROR(
    SUMIFS(
      [1]Склад!$J$14:$J$279,
      [1]Склад!$B$14:$B$279, A28,
      [1]Склад!$E$14:$E$279, "Итог на конец недели"
    ),
    ""
  ),
  ""
)</f>
        <v>18400</v>
      </c>
      <c r="H28" s="5">
        <f>IF(
  $H$1=[1]Склад!$K$13,
  IFERROR(
    SUMIFS(
      [1]Склад!$K$14:$K$279,
      [1]Склад!$B$14:$B$279, A28,
      [1]Склад!$E$14:$E$279, "Итог на конец недели"
    ),
    ""
  ),
  ""
)</f>
        <v>21540</v>
      </c>
      <c r="I28" s="5">
        <f>IF(
  $I$1=[1]Склад!$L$13,
  IFERROR(
    SUMIFS(
      [1]Склад!$L$14:$L$279,
      [1]Склад!$B$14:$B$279, A28,
      [1]Склад!$E$14:$E$279, "Итог на конец недели"
    ),
    ""
  ),
  ""
)</f>
        <v>3204</v>
      </c>
      <c r="J28" s="12">
        <f>IF(
  $J$1=[1]Склад!$O$13,
  IFERROR(
    SUMIFS(
      [1]Склад!$O$14:$O$279,
      [1]Склад!$B$14:$B$279, A28,
      [1]Склад!$E$14:$E$279, "Итог на конец недели"
    ),
    ""
  ),
  ""
)</f>
        <v>426</v>
      </c>
    </row>
    <row r="29" spans="1:10" x14ac:dyDescent="0.25">
      <c r="A29" s="21">
        <v>28</v>
      </c>
      <c r="B29" s="22">
        <v>7</v>
      </c>
      <c r="C29" s="5">
        <f>IF(
  $C$1=[1]Склад!$F$13,
  IFERROR(
    SUMIFS(
      [1]Склад!$F$14:$F$279,
      [1]Склад!$B$14:$B$279, A29,
      [1]Склад!$E$14:$E$279, "Итог на конец недели"
    ),
    ""
  ),
  ""
)</f>
        <v>840</v>
      </c>
      <c r="D29" s="5">
        <f>IF(
  $D$1=[1]Склад!$G$13,
  IFERROR(
    SUMIFS(
      [1]Склад!$G$14:$G$279,
      [1]Склад!$B$14:$B$279, A29,
      [1]Склад!$E$14:$E$279, "Итог на конец недели"
    ),
    ""
  ),
  ""
)</f>
        <v>54581</v>
      </c>
      <c r="E29" s="5">
        <f>IF(
  $E$1=[1]Склад!$H$13,
  IFERROR(
    SUMIFS(
      [1]Склад!$H$14:$H$279,
      [1]Склад!$B$14:$B$279, A29,
      [1]Склад!$E$14:$E$279, "Итог на конец недели"
    ),
    ""
  ),
  ""
)</f>
        <v>43240</v>
      </c>
      <c r="F29" s="5">
        <f>IF(
  $F$1=[1]Склад!$I$13,
  IFERROR(
    SUMIFS(
      [1]Склад!$I$14:$I$279,
      [1]Склад!$B$14:$B$279, A29,
      [1]Склад!$E$14:$E$279, "Итог на конец недели"
    ),
    ""
  ),
  ""
)</f>
        <v>44406</v>
      </c>
      <c r="G29" s="5">
        <f>IF(
  $G$1=[1]Склад!$J$13,
  IFERROR(
    SUMIFS(
      [1]Склад!$J$14:$J$279,
      [1]Склад!$B$14:$B$279, A29,
      [1]Склад!$E$14:$E$279, "Итог на конец недели"
    ),
    ""
  ),
  ""
)</f>
        <v>17700</v>
      </c>
      <c r="H29" s="5">
        <f>IF(
  $H$1=[1]Склад!$K$13,
  IFERROR(
    SUMIFS(
      [1]Склад!$K$14:$K$279,
      [1]Склад!$B$14:$B$279, A29,
      [1]Склад!$E$14:$E$279, "Итог на конец недели"
    ),
    ""
  ),
  ""
)</f>
        <v>20306</v>
      </c>
      <c r="I29" s="5">
        <f>IF(
  $I$1=[1]Склад!$L$13,
  IFERROR(
    SUMIFS(
      [1]Склад!$L$14:$L$279,
      [1]Склад!$B$14:$B$279, A29,
      [1]Склад!$E$14:$E$279, "Итог на конец недели"
    ),
    ""
  ),
  ""
)</f>
        <v>3204</v>
      </c>
      <c r="J29" s="12">
        <f>IF(
  $J$1=[1]Склад!$O$13,
  IFERROR(
    SUMIFS(
      [1]Склад!$O$14:$O$279,
      [1]Склад!$B$14:$B$279, A29,
      [1]Склад!$E$14:$E$279, "Итог на конец недели"
    ),
    ""
  ),
  ""
)</f>
        <v>325</v>
      </c>
    </row>
    <row r="30" spans="1:10" x14ac:dyDescent="0.25">
      <c r="A30" s="21">
        <v>29</v>
      </c>
      <c r="B30" s="22">
        <v>7</v>
      </c>
      <c r="C30" s="5">
        <f>IF(
  $C$1=[1]Склад!$F$13,
  IFERROR(
    SUMIFS(
      [1]Склад!$F$14:$F$279,
      [1]Склад!$B$14:$B$279, A30,
      [1]Склад!$E$14:$E$279, "Итог на конец недели"
    ),
    ""
  ),
  ""
)</f>
        <v>40</v>
      </c>
      <c r="D30" s="5">
        <f>IF(
  $D$1=[1]Склад!$G$13,
  IFERROR(
    SUMIFS(
      [1]Склад!$G$14:$G$279,
      [1]Склад!$B$14:$B$279, A30,
      [1]Склад!$E$14:$E$279, "Итог на конец недели"
    ),
    ""
  ),
  ""
)</f>
        <v>52116</v>
      </c>
      <c r="E30" s="5">
        <f>IF(
  $E$1=[1]Склад!$H$13,
  IFERROR(
    SUMIFS(
      [1]Склад!$H$14:$H$279,
      [1]Склад!$B$14:$B$279, A30,
      [1]Склад!$E$14:$E$279, "Итог на конец недели"
    ),
    ""
  ),
  ""
)</f>
        <v>42000</v>
      </c>
      <c r="F30" s="5">
        <f>IF(
  $F$1=[1]Склад!$I$13,
  IFERROR(
    SUMIFS(
      [1]Склад!$I$14:$I$279,
      [1]Склад!$B$14:$B$279, A30,
      [1]Склад!$E$14:$E$279, "Итог на конец недели"
    ),
    ""
  ),
  ""
)</f>
        <v>41654</v>
      </c>
      <c r="G30" s="5">
        <f>IF(
  $G$1=[1]Склад!$J$13,
  IFERROR(
    SUMIFS(
      [1]Склад!$J$14:$J$279,
      [1]Склад!$B$14:$B$279, A30,
      [1]Склад!$E$14:$E$279, "Итог на конец недели"
    ),
    ""
  ),
  ""
)</f>
        <v>17000</v>
      </c>
      <c r="H30" s="5">
        <f>IF(
  $H$1=[1]Склад!$K$13,
  IFERROR(
    SUMIFS(
      [1]Склад!$K$14:$K$279,
      [1]Склад!$B$14:$B$279, A30,
      [1]Склад!$E$14:$E$279, "Итог на конец недели"
    ),
    ""
  ),
  ""
)</f>
        <v>18303</v>
      </c>
      <c r="I30" s="5">
        <f>IF(
  $I$1=[1]Склад!$L$13,
  IFERROR(
    SUMIFS(
      [1]Склад!$L$14:$L$279,
      [1]Склад!$B$14:$B$279, A30,
      [1]Склад!$E$14:$E$279, "Итог на конец недели"
    ),
    ""
  ),
  ""
)</f>
        <v>3204</v>
      </c>
      <c r="J30" s="12">
        <f>IF(
  $J$1=[1]Склад!$O$13,
  IFERROR(
    SUMIFS(
      [1]Склад!$O$14:$O$279,
      [1]Склад!$B$14:$B$279, A30,
      [1]Склад!$E$14:$E$279, "Итог на конец недели"
    ),
    ""
  ),
  ""
)</f>
        <v>222</v>
      </c>
    </row>
    <row r="31" spans="1:10" x14ac:dyDescent="0.25">
      <c r="A31" s="21">
        <v>30</v>
      </c>
      <c r="B31" s="22">
        <v>7</v>
      </c>
      <c r="C31" s="5">
        <f>IF(
  $C$1=[1]Склад!$F$13,
  IFERROR(
    SUMIFS(
      [1]Склад!$F$14:$F$279,
      [1]Склад!$B$14:$B$279, A31,
      [1]Склад!$E$14:$E$279, "Итог на конец недели"
    ),
    ""
  ),
  ""
)</f>
        <v>0</v>
      </c>
      <c r="D31" s="5">
        <f>IF(
  $D$1=[1]Склад!$G$13,
  IFERROR(
    SUMIFS(
      [1]Склад!$G$14:$G$279,
      [1]Склад!$B$14:$B$279, A31,
      [1]Склад!$E$14:$E$279, "Итог на конец недели"
    ),
    ""
  ),
  ""
)</f>
        <v>49603</v>
      </c>
      <c r="E31" s="5">
        <f>IF(
  $E$1=[1]Склад!$H$13,
  IFERROR(
    SUMIFS(
      [1]Склад!$H$14:$H$279,
      [1]Склад!$B$14:$B$279, A31,
      [1]Склад!$E$14:$E$279, "Итог на конец недели"
    ),
    ""
  ),
  ""
)</f>
        <v>40880</v>
      </c>
      <c r="F31" s="5">
        <f>IF(
  $F$1=[1]Склад!$I$13,
  IFERROR(
    SUMIFS(
      [1]Склад!$I$14:$I$279,
      [1]Склад!$B$14:$B$279, A31,
      [1]Склад!$E$14:$E$279, "Итог на конец недели"
    ),
    ""
  ),
  ""
)</f>
        <v>38843</v>
      </c>
      <c r="G31" s="5">
        <f>IF(
  $G$1=[1]Склад!$J$13,
  IFERROR(
    SUMIFS(
      [1]Склад!$J$14:$J$279,
      [1]Склад!$B$14:$B$279, A31,
      [1]Склад!$E$14:$E$279, "Итог на конец недели"
    ),
    ""
  ),
  ""
)</f>
        <v>16500</v>
      </c>
      <c r="H31" s="5">
        <f>IF(
  $H$1=[1]Склад!$K$13,
  IFERROR(
    SUMIFS(
      [1]Склад!$K$14:$K$279,
      [1]Склад!$B$14:$B$279, A31,
      [1]Склад!$E$14:$E$279, "Итог на конец недели"
    ),
    ""
  ),
  ""
)</f>
        <v>16305</v>
      </c>
      <c r="I31" s="5">
        <f>IF(
  $I$1=[1]Склад!$L$13,
  IFERROR(
    SUMIFS(
      [1]Склад!$L$14:$L$279,
      [1]Склад!$B$14:$B$279, A31,
      [1]Склад!$E$14:$E$279, "Итог на конец недели"
    ),
    ""
  ),
  ""
)</f>
        <v>3204</v>
      </c>
      <c r="J31" s="12">
        <f>IF(
  $J$1=[1]Склад!$O$13,
  IFERROR(
    SUMIFS(
      [1]Склад!$O$14:$O$279,
      [1]Склад!$B$14:$B$279, A31,
      [1]Склад!$E$14:$E$279, "Итог на конец недели"
    ),
    ""
  ),
  ""
)</f>
        <v>1665</v>
      </c>
    </row>
    <row r="32" spans="1:10" x14ac:dyDescent="0.25">
      <c r="A32" s="21">
        <v>31</v>
      </c>
      <c r="B32" s="22">
        <v>7</v>
      </c>
      <c r="C32" s="5">
        <f>IF(
  $C$1=[1]Склад!$F$13,
  IFERROR(
    SUMIFS(
      [1]Склад!$F$14:$F$279,
      [1]Склад!$B$14:$B$279, A32,
      [1]Склад!$E$14:$E$279, "Итог на конец недели"
    ),
    ""
  ),
  ""
)</f>
        <v>3882</v>
      </c>
      <c r="D32" s="5">
        <f>IF(
  $D$1=[1]Склад!$G$13,
  IFERROR(
    SUMIFS(
      [1]Склад!$G$14:$G$279,
      [1]Склад!$B$14:$B$279, A32,
      [1]Склад!$E$14:$E$279, "Итог на конец недели"
    ),
    ""
  ),
  ""
)</f>
        <v>46993</v>
      </c>
      <c r="E32" s="5">
        <f>IF(
  $E$1=[1]Склад!$H$13,
  IFERROR(
    SUMIFS(
      [1]Склад!$H$14:$H$279,
      [1]Склад!$B$14:$B$279, A32,
      [1]Склад!$E$14:$E$279, "Итог на конец недели"
    ),
    ""
  ),
  ""
)</f>
        <v>38080</v>
      </c>
      <c r="F32" s="5">
        <f>IF(
  $F$1=[1]Склад!$I$13,
  IFERROR(
    SUMIFS(
      [1]Склад!$I$14:$I$279,
      [1]Склад!$B$14:$B$279, A32,
      [1]Склад!$E$14:$E$279, "Итог на конец недели"
    ),
    ""
  ),
  ""
)</f>
        <v>36040</v>
      </c>
      <c r="G32" s="5">
        <f>IF(
  $G$1=[1]Склад!$J$13,
  IFERROR(
    SUMIFS(
      [1]Склад!$J$14:$J$279,
      [1]Склад!$B$14:$B$279, A32,
      [1]Склад!$E$14:$E$279, "Итог на конец недели"
    ),
    ""
  ),
  ""
)</f>
        <v>15900</v>
      </c>
      <c r="H32" s="5">
        <f>IF(
  $H$1=[1]Склад!$K$13,
  IFERROR(
    SUMIFS(
      [1]Склад!$K$14:$K$279,
      [1]Склад!$B$14:$B$279, A32,
      [1]Склад!$E$14:$E$279, "Итог на конец недели"
    ),
    ""
  ),
  ""
)</f>
        <v>14832</v>
      </c>
      <c r="I32" s="5">
        <f>IF(
  $I$1=[1]Склад!$L$13,
  IFERROR(
    SUMIFS(
      [1]Склад!$L$14:$L$279,
      [1]Склад!$B$14:$B$279, A32,
      [1]Склад!$E$14:$E$279, "Итог на конец недели"
    ),
    ""
  ),
  ""
)</f>
        <v>3204</v>
      </c>
      <c r="J32" s="12">
        <f>IF(
  $J$1=[1]Склад!$O$13,
  IFERROR(
    SUMIFS(
      [1]Склад!$O$14:$O$279,
      [1]Склад!$B$14:$B$279, A32,
      [1]Склад!$E$14:$E$279, "Итог на конец недели"
    ),
    ""
  ),
  ""
)</f>
        <v>1546</v>
      </c>
    </row>
    <row r="33" spans="1:10" x14ac:dyDescent="0.25">
      <c r="A33" s="21">
        <v>32</v>
      </c>
      <c r="B33" s="22">
        <v>8</v>
      </c>
      <c r="C33" s="5">
        <f>IF(
  $C$1=[1]Склад!$F$13,
  IFERROR(
    SUMIFS(
      [1]Склад!$F$14:$F$279,
      [1]Склад!$B$14:$B$279, A33,
      [1]Склад!$E$14:$E$279, "Итог на конец недели"
    ),
    ""
  ),
  ""
)</f>
        <v>2160</v>
      </c>
      <c r="D33" s="5">
        <f>IF(
  $D$1=[1]Склад!$G$13,
  IFERROR(
    SUMIFS(
      [1]Склад!$G$14:$G$279,
      [1]Склад!$B$14:$B$279, A33,
      [1]Склад!$E$14:$E$279, "Итог на конец недели"
    ),
    ""
  ),
  ""
)</f>
        <v>44279</v>
      </c>
      <c r="E33" s="5">
        <f>IF(
  $E$1=[1]Склад!$H$13,
  IFERROR(
    SUMIFS(
      [1]Склад!$H$14:$H$279,
      [1]Склад!$B$14:$B$279, A33,
      [1]Склад!$E$14:$E$279, "Итог на конец недели"
    ),
    ""
  ),
  ""
)</f>
        <v>35174</v>
      </c>
      <c r="F33" s="5">
        <f>IF(
  $F$1=[1]Склад!$I$13,
  IFERROR(
    SUMIFS(
      [1]Склад!$I$14:$I$279,
      [1]Склад!$B$14:$B$279, A33,
      [1]Склад!$E$14:$E$279, "Итог на конец недели"
    ),
    ""
  ),
  ""
)</f>
        <v>32628</v>
      </c>
      <c r="G33" s="5">
        <f>IF(
  $G$1=[1]Склад!$J$13,
  IFERROR(
    SUMIFS(
      [1]Склад!$J$14:$J$279,
      [1]Склад!$B$14:$B$279, A33,
      [1]Склад!$E$14:$E$279, "Итог на конец недели"
    ),
    ""
  ),
  ""
)</f>
        <v>15280</v>
      </c>
      <c r="H33" s="5">
        <f>IF(
  $H$1=[1]Склад!$K$13,
  IFERROR(
    SUMIFS(
      [1]Склад!$K$14:$K$279,
      [1]Склад!$B$14:$B$279, A33,
      [1]Склад!$E$14:$E$279, "Итог на конец недели"
    ),
    ""
  ),
  ""
)</f>
        <v>13464</v>
      </c>
      <c r="I33" s="5">
        <f>IF(
  $I$1=[1]Склад!$L$13,
  IFERROR(
    SUMIFS(
      [1]Склад!$L$14:$L$279,
      [1]Склад!$B$14:$B$279, A33,
      [1]Склад!$E$14:$E$279, "Итог на конец недели"
    ),
    ""
  ),
  ""
)</f>
        <v>3204</v>
      </c>
      <c r="J33" s="12">
        <f>IF(
  $J$1=[1]Склад!$O$13,
  IFERROR(
    SUMIFS(
      [1]Склад!$O$14:$O$279,
      [1]Склад!$B$14:$B$279, A33,
      [1]Склад!$E$14:$E$279, "Итог на конец недели"
    ),
    ""
  ),
  ""
)</f>
        <v>797</v>
      </c>
    </row>
    <row r="34" spans="1:10" x14ac:dyDescent="0.25">
      <c r="A34" s="21">
        <v>33</v>
      </c>
      <c r="B34" s="22">
        <v>8</v>
      </c>
      <c r="C34" s="5">
        <f>IF(
  $C$1=[1]Склад!$F$13,
  IFERROR(
    SUMIFS(
      [1]Склад!$F$14:$F$279,
      [1]Склад!$B$14:$B$279, A34,
      [1]Склад!$E$14:$E$279, "Итог на конец недели"
    ),
    ""
  ),
  ""
)</f>
        <v>1800</v>
      </c>
      <c r="D34" s="5">
        <f>IF(
  $D$1=[1]Склад!$G$13,
  IFERROR(
    SUMIFS(
      [1]Склад!$G$14:$G$279,
      [1]Склад!$B$14:$B$279, A34,
      [1]Склад!$E$14:$E$279, "Итог на конец недели"
    ),
    ""
  ),
  ""
)</f>
        <v>42115</v>
      </c>
      <c r="E34" s="5">
        <f>IF(
  $E$1=[1]Склад!$H$13,
  IFERROR(
    SUMIFS(
      [1]Склад!$H$14:$H$279,
      [1]Склад!$B$14:$B$279, A34,
      [1]Склад!$E$14:$E$279, "Итог на конец недели"
    ),
    ""
  ),
  ""
)</f>
        <v>34220</v>
      </c>
      <c r="F34" s="5">
        <f>IF(
  $F$1=[1]Склад!$I$13,
  IFERROR(
    SUMIFS(
      [1]Склад!$I$14:$I$279,
      [1]Склад!$B$14:$B$279, A34,
      [1]Склад!$E$14:$E$279, "Итог на конец недели"
    ),
    ""
  ),
  ""
)</f>
        <v>29102</v>
      </c>
      <c r="G34" s="5">
        <f>IF(
  $G$1=[1]Склад!$J$13,
  IFERROR(
    SUMIFS(
      [1]Склад!$J$14:$J$279,
      [1]Склад!$B$14:$B$279, A34,
      [1]Склад!$E$14:$E$279, "Итог на конец недели"
    ),
    ""
  ),
  ""
)</f>
        <v>15060</v>
      </c>
      <c r="H34" s="5">
        <f>IF(
  $H$1=[1]Склад!$K$13,
  IFERROR(
    SUMIFS(
      [1]Склад!$K$14:$K$279,
      [1]Склад!$B$14:$B$279, A34,
      [1]Склад!$E$14:$E$279, "Итог на конец недели"
    ),
    ""
  ),
  ""
)</f>
        <v>11832</v>
      </c>
      <c r="I34" s="5">
        <f>IF(
  $I$1=[1]Склад!$L$13,
  IFERROR(
    SUMIFS(
      [1]Склад!$L$14:$L$279,
      [1]Склад!$B$14:$B$279, A34,
      [1]Склад!$E$14:$E$279, "Итог на конец недели"
    ),
    ""
  ),
  ""
)</f>
        <v>3204</v>
      </c>
      <c r="J34" s="12">
        <f>IF(
  $J$1=[1]Склад!$O$13,
  IFERROR(
    SUMIFS(
      [1]Склад!$O$14:$O$279,
      [1]Склад!$B$14:$B$279, A34,
      [1]Склад!$E$14:$E$279, "Итог на конец недели"
    ),
    ""
  ),
  ""
)</f>
        <v>661</v>
      </c>
    </row>
    <row r="35" spans="1:10" x14ac:dyDescent="0.25">
      <c r="A35" s="21">
        <v>34</v>
      </c>
      <c r="B35" s="22">
        <v>8</v>
      </c>
      <c r="C35" s="5">
        <f>IF(
  $C$1=[1]Склад!$F$13,
  IFERROR(
    SUMIFS(
      [1]Склад!$F$14:$F$279,
      [1]Склад!$B$14:$B$279, A35,
      [1]Склад!$E$14:$E$279, "Итог на конец недели"
    ),
    ""
  ),
  ""
)</f>
        <v>1440</v>
      </c>
      <c r="D35" s="5">
        <f>IF(
  $D$1=[1]Склад!$G$13,
  IFERROR(
    SUMIFS(
      [1]Склад!$G$14:$G$279,
      [1]Склад!$B$14:$B$279, A35,
      [1]Склад!$E$14:$E$279, "Итог на конец недели"
    ),
    ""
  ),
  ""
)</f>
        <v>39780</v>
      </c>
      <c r="E35" s="5">
        <f>IF(
  $E$1=[1]Склад!$H$13,
  IFERROR(
    SUMIFS(
      [1]Склад!$H$14:$H$279,
      [1]Склад!$B$14:$B$279, A35,
      [1]Склад!$E$14:$E$279, "Итог на конец недели"
    ),
    ""
  ),
  ""
)</f>
        <v>33355</v>
      </c>
      <c r="F35" s="5">
        <f>IF(
  $F$1=[1]Склад!$I$13,
  IFERROR(
    SUMIFS(
      [1]Склад!$I$14:$I$279,
      [1]Склад!$B$14:$B$279, A35,
      [1]Склад!$E$14:$E$279, "Итог на конец недели"
    ),
    ""
  ),
  ""
)</f>
        <v>26904</v>
      </c>
      <c r="G35" s="5">
        <f>IF(
  $G$1=[1]Склад!$J$13,
  IFERROR(
    SUMIFS(
      [1]Склад!$J$14:$J$279,
      [1]Склад!$B$14:$B$279, A35,
      [1]Склад!$E$14:$E$279, "Итог на конец недели"
    ),
    ""
  ),
  ""
)</f>
        <v>15060</v>
      </c>
      <c r="H35" s="5">
        <f>IF(
  $H$1=[1]Склад!$K$13,
  IFERROR(
    SUMIFS(
      [1]Склад!$K$14:$K$279,
      [1]Склад!$B$14:$B$279, A35,
      [1]Склад!$E$14:$E$279, "Итог на конец недели"
    ),
    ""
  ),
  ""
)</f>
        <v>10101</v>
      </c>
      <c r="I35" s="5">
        <f>IF(
  $I$1=[1]Склад!$L$13,
  IFERROR(
    SUMIFS(
      [1]Склад!$L$14:$L$279,
      [1]Склад!$B$14:$B$279, A35,
      [1]Склад!$E$14:$E$279, "Итог на конец недели"
    ),
    ""
  ),
  ""
)</f>
        <v>3204</v>
      </c>
      <c r="J35" s="12">
        <f>IF(
  $J$1=[1]Склад!$O$13,
  IFERROR(
    SUMIFS(
      [1]Склад!$O$14:$O$279,
      [1]Склад!$B$14:$B$279, A35,
      [1]Склад!$E$14:$E$279, "Итог на конец недели"
    ),
    ""
  ),
  ""
)</f>
        <v>519</v>
      </c>
    </row>
    <row r="36" spans="1:10" x14ac:dyDescent="0.25">
      <c r="A36" s="21">
        <v>35</v>
      </c>
      <c r="B36" s="22">
        <v>8</v>
      </c>
      <c r="C36" s="5">
        <f>IF(
  $C$1=[1]Склад!$F$13,
  IFERROR(
    SUMIFS(
      [1]Склад!$F$14:$F$279,
      [1]Склад!$B$14:$B$279, A36,
      [1]Склад!$E$14:$E$279, "Итог на конец недели"
    ),
    ""
  ),
  ""
)</f>
        <v>15960</v>
      </c>
      <c r="D36" s="5">
        <f>IF(
  $D$1=[1]Склад!$G$13,
  IFERROR(
    SUMIFS(
      [1]Склад!$G$14:$G$279,
      [1]Склад!$B$14:$B$279, A36,
      [1]Склад!$E$14:$E$279, "Итог на конец недели"
    ),
    ""
  ),
  ""
)</f>
        <v>46034</v>
      </c>
      <c r="E36" s="5">
        <f>IF(
  $E$1=[1]Склад!$H$13,
  IFERROR(
    SUMIFS(
      [1]Склад!$H$14:$H$279,
      [1]Склад!$B$14:$B$279, A36,
      [1]Склад!$E$14:$E$279, "Итог на конец недели"
    ),
    ""
  ),
  ""
)</f>
        <v>49280</v>
      </c>
      <c r="F36" s="5">
        <f>IF(
  $F$1=[1]Склад!$I$13,
  IFERROR(
    SUMIFS(
      [1]Склад!$I$14:$I$279,
      [1]Склад!$B$14:$B$279, A36,
      [1]Склад!$E$14:$E$279, "Итог на конец недели"
    ),
    ""
  ),
  ""
)</f>
        <v>14912</v>
      </c>
      <c r="G36" s="5">
        <f>IF(
  $G$1=[1]Склад!$J$13,
  IFERROR(
    SUMIFS(
      [1]Склад!$J$14:$J$279,
      [1]Склад!$B$14:$B$279, A36,
      [1]Склад!$E$14:$E$279, "Итог на конец недели"
    ),
    ""
  ),
  ""
)</f>
        <v>15060</v>
      </c>
      <c r="H36" s="5">
        <f>IF(
  $H$1=[1]Склад!$K$13,
  IFERROR(
    SUMIFS(
      [1]Склад!$K$14:$K$279,
      [1]Склад!$B$14:$B$279, A36,
      [1]Склад!$E$14:$E$279, "Итог на конец недели"
    ),
    ""
  ),
  ""
)</f>
        <v>8544</v>
      </c>
      <c r="I36" s="5">
        <f>IF(
  $I$1=[1]Склад!$L$13,
  IFERROR(
    SUMIFS(
      [1]Склад!$L$14:$L$279,
      [1]Склад!$B$14:$B$279, A36,
      [1]Склад!$E$14:$E$279, "Итог на конец недели"
    ),
    ""
  ),
  ""
)</f>
        <v>3204</v>
      </c>
      <c r="J36" s="12">
        <f>IF(
  $J$1=[1]Склад!$O$13,
  IFERROR(
    SUMIFS(
      [1]Склад!$O$14:$O$279,
      [1]Склад!$B$14:$B$279, A36,
      [1]Склад!$E$14:$E$279, "Итог на конец недели"
    ),
    ""
  ),
  ""
)</f>
        <v>371</v>
      </c>
    </row>
    <row r="37" spans="1:10" x14ac:dyDescent="0.25">
      <c r="A37" s="21">
        <v>36</v>
      </c>
      <c r="B37" s="22">
        <v>9</v>
      </c>
      <c r="C37" s="5">
        <f>IF(
  $C$1=[1]Склад!$F$13,
  IFERROR(
    SUMIFS(
      [1]Склад!$F$14:$F$279,
      [1]Склад!$B$14:$B$279, A37,
      [1]Склад!$E$14:$E$279, "Итог на конец недели"
    ),
    ""
  ),
  ""
)</f>
        <v>15240</v>
      </c>
      <c r="D37" s="5">
        <f>IF(
  $D$1=[1]Склад!$G$13,
  IFERROR(
    SUMIFS(
      [1]Склад!$G$14:$G$279,
      [1]Склад!$B$14:$B$279, A37,
      [1]Склад!$E$14:$E$279, "Итог на конец недели"
    ),
    ""
  ),
  ""
)</f>
        <v>41800</v>
      </c>
      <c r="E37" s="5">
        <f>IF(
  $E$1=[1]Склад!$H$13,
  IFERROR(
    SUMIFS(
      [1]Склад!$H$14:$H$279,
      [1]Склад!$B$14:$B$279, A37,
      [1]Склад!$E$14:$E$279, "Итог на конец недели"
    ),
    ""
  ),
  ""
)</f>
        <v>45360</v>
      </c>
      <c r="F37" s="5">
        <f>IF(
  $F$1=[1]Склад!$I$13,
  IFERROR(
    SUMIFS(
      [1]Склад!$I$14:$I$279,
      [1]Склад!$B$14:$B$279, A37,
      [1]Склад!$E$14:$E$279, "Итог на конец недели"
    ),
    ""
  ),
  ""
)</f>
        <v>12328</v>
      </c>
      <c r="G37" s="5">
        <f>IF(
  $G$1=[1]Склад!$J$13,
  IFERROR(
    SUMIFS(
      [1]Склад!$J$14:$J$279,
      [1]Склад!$B$14:$B$279, A37,
      [1]Склад!$E$14:$E$279, "Итог на конец недели"
    ),
    ""
  ),
  ""
)</f>
        <v>15060</v>
      </c>
      <c r="H37" s="5">
        <f>IF(
  $H$1=[1]Склад!$K$13,
  IFERROR(
    SUMIFS(
      [1]Склад!$K$14:$K$279,
      [1]Склад!$B$14:$B$279, A37,
      [1]Склад!$E$14:$E$279, "Итог на конец недели"
    ),
    ""
  ),
  ""
)</f>
        <v>6486</v>
      </c>
      <c r="I37" s="5">
        <f>IF(
  $I$1=[1]Склад!$L$13,
  IFERROR(
    SUMIFS(
      [1]Склад!$L$14:$L$279,
      [1]Склад!$B$14:$B$279, A37,
      [1]Склад!$E$14:$E$279, "Итог на конец недели"
    ),
    ""
  ),
  ""
)</f>
        <v>3204</v>
      </c>
      <c r="J37" s="12">
        <f>IF(
  $J$1=[1]Склад!$O$13,
  IFERROR(
    SUMIFS(
      [1]Склад!$O$14:$O$279,
      [1]Склад!$B$14:$B$279, A37,
      [1]Склад!$E$14:$E$279, "Итог на конец недели"
    ),
    ""
  ),
  ""
)</f>
        <v>265</v>
      </c>
    </row>
    <row r="38" spans="1:10" x14ac:dyDescent="0.25">
      <c r="A38" s="21">
        <v>37</v>
      </c>
      <c r="B38" s="22">
        <v>9</v>
      </c>
      <c r="C38" s="5">
        <f>IF(
  $C$1=[1]Склад!$F$13,
  IFERROR(
    SUMIFS(
      [1]Склад!$F$14:$F$279,
      [1]Склад!$B$14:$B$279, A38,
      [1]Склад!$E$14:$E$279, "Итог на конец недели"
    ),
    ""
  ),
  ""
)</f>
        <v>14640</v>
      </c>
      <c r="D38" s="5">
        <f>IF(
  $D$1=[1]Склад!$G$13,
  IFERROR(
    SUMIFS(
      [1]Склад!$G$14:$G$279,
      [1]Склад!$B$14:$B$279, A38,
      [1]Склад!$E$14:$E$279, "Итог на конец недели"
    ),
    ""
  ),
  ""
)</f>
        <v>37950</v>
      </c>
      <c r="E38" s="5">
        <f>IF(
  $E$1=[1]Склад!$H$13,
  IFERROR(
    SUMIFS(
      [1]Склад!$H$14:$H$279,
      [1]Склад!$B$14:$B$279, A38,
      [1]Склад!$E$14:$E$279, "Итог на конец недели"
    ),
    ""
  ),
  ""
)</f>
        <v>43680</v>
      </c>
      <c r="F38" s="5">
        <f>IF(
  $F$1=[1]Склад!$I$13,
  IFERROR(
    SUMIFS(
      [1]Склад!$I$14:$I$279,
      [1]Склад!$B$14:$B$279, A38,
      [1]Склад!$E$14:$E$279, "Итог на конец недели"
    ),
    ""
  ),
  ""
)</f>
        <v>10088</v>
      </c>
      <c r="G38" s="5">
        <f>IF(
  $G$1=[1]Склад!$J$13,
  IFERROR(
    SUMIFS(
      [1]Склад!$J$14:$J$279,
      [1]Склад!$B$14:$B$279, A38,
      [1]Склад!$E$14:$E$279, "Итог на конец недели"
    ),
    ""
  ),
  ""
)</f>
        <v>14650</v>
      </c>
      <c r="H38" s="5">
        <f>IF(
  $H$1=[1]Склад!$K$13,
  IFERROR(
    SUMIFS(
      [1]Склад!$K$14:$K$279,
      [1]Склад!$B$14:$B$279, A38,
      [1]Склад!$E$14:$E$279, "Итог на конец недели"
    ),
    ""
  ),
  ""
)</f>
        <v>5576</v>
      </c>
      <c r="I38" s="5">
        <f>IF(
  $I$1=[1]Склад!$L$13,
  IFERROR(
    SUMIFS(
      [1]Склад!$L$14:$L$279,
      [1]Склад!$B$14:$B$279, A38,
      [1]Склад!$E$14:$E$279, "Итог на конец недели"
    ),
    ""
  ),
  ""
)</f>
        <v>3204</v>
      </c>
      <c r="J38" s="12">
        <f>IF(
  $J$1=[1]Склад!$O$13,
  IFERROR(
    SUMIFS(
      [1]Склад!$O$14:$O$279,
      [1]Склад!$B$14:$B$279, A38,
      [1]Склад!$E$14:$E$279, "Итог на конец недели"
    ),
    ""
  ),
  ""
)</f>
        <v>2418</v>
      </c>
    </row>
    <row r="39" spans="1:10" x14ac:dyDescent="0.25">
      <c r="A39" s="21">
        <v>38</v>
      </c>
      <c r="B39" s="22">
        <v>9</v>
      </c>
      <c r="C39" s="5">
        <f>IF(
  $C$1=[1]Склад!$F$13,
  IFERROR(
    SUMIFS(
      [1]Склад!$F$14:$F$279,
      [1]Склад!$B$14:$B$279, A39,
      [1]Склад!$E$14:$E$279, "Итог на конец недели"
    ),
    ""
  ),
  ""
)</f>
        <v>14178</v>
      </c>
      <c r="D39" s="5">
        <f>IF(
  $D$1=[1]Склад!$G$13,
  IFERROR(
    SUMIFS(
      [1]Склад!$G$14:$G$279,
      [1]Склад!$B$14:$B$279, A39,
      [1]Склад!$E$14:$E$279, "Итог на конец недели"
    ),
    ""
  ),
  ""
)</f>
        <v>37025</v>
      </c>
      <c r="E39" s="5">
        <f>IF(
  $E$1=[1]Склад!$H$13,
  IFERROR(
    SUMIFS(
      [1]Склад!$H$14:$H$279,
      [1]Склад!$B$14:$B$279, A39,
      [1]Склад!$E$14:$E$279, "Итог на конец недели"
    ),
    ""
  ),
  ""
)</f>
        <v>42560</v>
      </c>
      <c r="F39" s="5">
        <f>IF(
  $F$1=[1]Склад!$I$13,
  IFERROR(
    SUMIFS(
      [1]Склад!$I$14:$I$279,
      [1]Склад!$B$14:$B$279, A39,
      [1]Склад!$E$14:$E$279, "Итог на конец недели"
    ),
    ""
  ),
  ""
)</f>
        <v>21160</v>
      </c>
      <c r="G39" s="5">
        <f>IF(
  $G$1=[1]Склад!$J$13,
  IFERROR(
    SUMIFS(
      [1]Склад!$J$14:$J$279,
      [1]Склад!$B$14:$B$279, A39,
      [1]Склад!$E$14:$E$279, "Итог на конец недели"
    ),
    ""
  ),
  ""
)</f>
        <v>14350</v>
      </c>
      <c r="H39" s="5">
        <f>IF(
  $H$1=[1]Склад!$K$13,
  IFERROR(
    SUMIFS(
      [1]Склад!$K$14:$K$279,
      [1]Склад!$B$14:$B$279, A39,
      [1]Склад!$E$14:$E$279, "Итог на конец недели"
    ),
    ""
  ),
  ""
)</f>
        <v>25176</v>
      </c>
      <c r="I39" s="5">
        <f>IF(
  $I$1=[1]Склад!$L$13,
  IFERROR(
    SUMIFS(
      [1]Склад!$L$14:$L$279,
      [1]Склад!$B$14:$B$279, A39,
      [1]Склад!$E$14:$E$279, "Итог на конец недели"
    ),
    ""
  ),
  ""
)</f>
        <v>3204</v>
      </c>
      <c r="J39" s="12">
        <f>IF(
  $J$1=[1]Склад!$O$13,
  IFERROR(
    SUMIFS(
      [1]Склад!$O$14:$O$279,
      [1]Склад!$B$14:$B$279, A39,
      [1]Склад!$E$14:$E$279, "Итог на конец недели"
    ),
    ""
  ),
  ""
)</f>
        <v>3384</v>
      </c>
    </row>
    <row r="40" spans="1:10" x14ac:dyDescent="0.25">
      <c r="A40" s="21">
        <v>39</v>
      </c>
      <c r="B40" s="22">
        <v>9</v>
      </c>
      <c r="C40" s="5">
        <f>IF(
  $C$1=[1]Склад!$F$13,
  IFERROR(
    SUMIFS(
      [1]Склад!$F$14:$F$279,
      [1]Склад!$B$14:$B$279, A40,
      [1]Склад!$E$14:$E$279, "Итог на конец недели"
    ),
    ""
  ),
  ""
)</f>
        <v>13876</v>
      </c>
      <c r="D40" s="5">
        <f>IF(
  $D$1=[1]Склад!$G$13,
  IFERROR(
    SUMIFS(
      [1]Склад!$G$14:$G$279,
      [1]Склад!$B$14:$B$279, A40,
      [1]Склад!$E$14:$E$279, "Итог на конец недели"
    ),
    ""
  ),
  ""
)</f>
        <v>34068</v>
      </c>
      <c r="E40" s="5">
        <f>IF(
  $E$1=[1]Склад!$H$13,
  IFERROR(
    SUMIFS(
      [1]Склад!$H$14:$H$279,
      [1]Склад!$B$14:$B$279, A40,
      [1]Склад!$E$14:$E$279, "Итог на конец недели"
    ),
    ""
  ),
  ""
)</f>
        <v>41491</v>
      </c>
      <c r="F40" s="5">
        <f>IF(
  $F$1=[1]Склад!$I$13,
  IFERROR(
    SUMIFS(
      [1]Склад!$I$14:$I$279,
      [1]Склад!$B$14:$B$279, A40,
      [1]Склад!$E$14:$E$279, "Итог на конец недели"
    ),
    ""
  ),
  ""
)</f>
        <v>34725</v>
      </c>
      <c r="G40" s="5">
        <f>IF(
  $G$1=[1]Склад!$J$13,
  IFERROR(
    SUMIFS(
      [1]Склад!$J$14:$J$279,
      [1]Склад!$B$14:$B$279, A40,
      [1]Склад!$E$14:$E$279, "Итог на конец недели"
    ),
    ""
  ),
  ""
)</f>
        <v>14066</v>
      </c>
      <c r="H40" s="5">
        <f>IF(
  $H$1=[1]Склад!$K$13,
  IFERROR(
    SUMIFS(
      [1]Склад!$K$14:$K$279,
      [1]Склад!$B$14:$B$279, A40,
      [1]Склад!$E$14:$E$279, "Итог на конец недели"
    ),
    ""
  ),
  ""
)</f>
        <v>24648</v>
      </c>
      <c r="I40" s="5">
        <f>IF(
  $I$1=[1]Склад!$L$13,
  IFERROR(
    SUMIFS(
      [1]Склад!$L$14:$L$279,
      [1]Склад!$B$14:$B$279, A40,
      [1]Склад!$E$14:$E$279, "Итог на конец недели"
    ),
    ""
  ),
  ""
)</f>
        <v>3204</v>
      </c>
      <c r="J40" s="12">
        <f>IF(
  $J$1=[1]Склад!$O$13,
  IFERROR(
    SUMIFS(
      [1]Склад!$O$14:$O$279,
      [1]Склад!$B$14:$B$279, A40,
      [1]Склад!$E$14:$E$279, "Итог на конец недели"
    ),
    ""
  ),
  ""
)</f>
        <v>3372</v>
      </c>
    </row>
    <row r="41" spans="1:10" x14ac:dyDescent="0.25">
      <c r="A41" s="21">
        <v>40</v>
      </c>
      <c r="B41" s="22">
        <v>10</v>
      </c>
      <c r="C41" s="5">
        <f>IF(
  $C$1=[1]Склад!$F$13,
  IFERROR(
    SUMIFS(
      [1]Склад!$F$14:$F$279,
      [1]Склад!$B$14:$B$279, A41,
      [1]Склад!$E$14:$E$279, "Итог на конец недели"
    ),
    ""
  ),
  ""
)</f>
        <v>13458</v>
      </c>
      <c r="D41" s="5">
        <f>IF(
  $D$1=[1]Склад!$G$13,
  IFERROR(
    SUMIFS(
      [1]Склад!$G$14:$G$279,
      [1]Склад!$B$14:$B$279, A41,
      [1]Склад!$E$14:$E$279, "Итог на конец недели"
    ),
    ""
  ),
  ""
)</f>
        <v>32070</v>
      </c>
      <c r="E41" s="5">
        <f>IF(
  $E$1=[1]Склад!$H$13,
  IFERROR(
    SUMIFS(
      [1]Склад!$H$14:$H$279,
      [1]Склад!$B$14:$B$279, A41,
      [1]Склад!$E$14:$E$279, "Итог на конец недели"
    ),
    ""
  ),
  ""
)</f>
        <v>40088</v>
      </c>
      <c r="F41" s="5">
        <f>IF(
  $F$1=[1]Склад!$I$13,
  IFERROR(
    SUMIFS(
      [1]Склад!$I$14:$I$279,
      [1]Склад!$B$14:$B$279, A41,
      [1]Склад!$E$14:$E$279, "Итог на конец недели"
    ),
    ""
  ),
  ""
)</f>
        <v>32715</v>
      </c>
      <c r="G41" s="5">
        <f>IF(
  $G$1=[1]Склад!$J$13,
  IFERROR(
    SUMIFS(
      [1]Склад!$J$14:$J$279,
      [1]Склад!$B$14:$B$279, A41,
      [1]Склад!$E$14:$E$279, "Итог на конец недели"
    ),
    ""
  ),
  ""
)</f>
        <v>13826</v>
      </c>
      <c r="H41" s="5">
        <f>IF(
  $H$1=[1]Склад!$K$13,
  IFERROR(
    SUMIFS(
      [1]Склад!$K$14:$K$279,
      [1]Склад!$B$14:$B$279, A41,
      [1]Склад!$E$14:$E$279, "Итог на конец недели"
    ),
    ""
  ),
  ""
)</f>
        <v>24522</v>
      </c>
      <c r="I41" s="5">
        <f>IF(
  $I$1=[1]Склад!$L$13,
  IFERROR(
    SUMIFS(
      [1]Склад!$L$14:$L$279,
      [1]Склад!$B$14:$B$279, A41,
      [1]Склад!$E$14:$E$279, "Итог на конец недели"
    ),
    ""
  ),
  ""
)</f>
        <v>3204</v>
      </c>
      <c r="J41" s="12">
        <f>IF(
  $J$1=[1]Склад!$O$13,
  IFERROR(
    SUMIFS(
      [1]Склад!$O$14:$O$279,
      [1]Склад!$B$14:$B$279, A41,
      [1]Склад!$E$14:$E$279, "Итог на конец недели"
    ),
    ""
  ),
  ""
)</f>
        <v>3364</v>
      </c>
    </row>
    <row r="42" spans="1:10" x14ac:dyDescent="0.25">
      <c r="A42" s="21">
        <v>41</v>
      </c>
      <c r="B42" s="22">
        <v>10</v>
      </c>
      <c r="C42" s="5">
        <f>IF(
  $C$1=[1]Склад!$F$13,
  IFERROR(
    SUMIFS(
      [1]Склад!$F$14:$F$279,
      [1]Склад!$B$14:$B$279, A42,
      [1]Склад!$E$14:$E$279, "Итог на конец недели"
    ),
    ""
  ),
  ""
)</f>
        <v>13217</v>
      </c>
      <c r="D42" s="5">
        <f>IF(
  $D$1=[1]Склад!$G$13,
  IFERROR(
    SUMIFS(
      [1]Склад!$G$14:$G$279,
      [1]Склад!$B$14:$B$279, A42,
      [1]Склад!$E$14:$E$279, "Итог на конец недели"
    ),
    ""
  ),
  ""
)</f>
        <v>29824</v>
      </c>
      <c r="E42" s="5">
        <f>IF(
  $E$1=[1]Склад!$H$13,
  IFERROR(
    SUMIFS(
      [1]Склад!$H$14:$H$279,
      [1]Склад!$B$14:$B$279, A42,
      [1]Склад!$E$14:$E$279, "Итог на конец недели"
    ),
    ""
  ),
  ""
)</f>
        <v>38601</v>
      </c>
      <c r="F42" s="5">
        <f>IF(
  $F$1=[1]Склад!$I$13,
  IFERROR(
    SUMIFS(
      [1]Склад!$I$14:$I$279,
      [1]Склад!$B$14:$B$279, A42,
      [1]Склад!$E$14:$E$279, "Итог на конец недели"
    ),
    ""
  ),
  ""
)</f>
        <v>29950</v>
      </c>
      <c r="G42" s="5">
        <f>IF(
  $G$1=[1]Склад!$J$13,
  IFERROR(
    SUMIFS(
      [1]Склад!$J$14:$J$279,
      [1]Склад!$B$14:$B$279, A42,
      [1]Склад!$E$14:$E$279, "Итог на конец недели"
    ),
    ""
  ),
  ""
)</f>
        <v>13726</v>
      </c>
      <c r="H42" s="5">
        <f>IF(
  $H$1=[1]Склад!$K$13,
  IFERROR(
    SUMIFS(
      [1]Склад!$K$14:$K$279,
      [1]Склад!$B$14:$B$279, A42,
      [1]Склад!$E$14:$E$279, "Итог на конец недели"
    ),
    ""
  ),
  ""
)</f>
        <v>23304</v>
      </c>
      <c r="I42" s="5">
        <f>IF(
  $I$1=[1]Склад!$L$13,
  IFERROR(
    SUMIFS(
      [1]Склад!$L$14:$L$279,
      [1]Склад!$B$14:$B$279, A42,
      [1]Склад!$E$14:$E$279, "Итог на конец недели"
    ),
    ""
  ),
  ""
)</f>
        <v>3204</v>
      </c>
      <c r="J42" s="12">
        <f>IF(
  $J$1=[1]Склад!$O$13,
  IFERROR(
    SUMIFS(
      [1]Склад!$O$14:$O$279,
      [1]Склад!$B$14:$B$279, A42,
      [1]Склад!$E$14:$E$279, "Итог на конец недели"
    ),
    ""
  ),
  ""
)</f>
        <v>3355</v>
      </c>
    </row>
    <row r="43" spans="1:10" x14ac:dyDescent="0.25">
      <c r="A43" s="21">
        <v>42</v>
      </c>
      <c r="B43" s="22">
        <v>10</v>
      </c>
      <c r="C43" s="5">
        <f>IF(
  $C$1=[1]Склад!$F$13,
  IFERROR(
    SUMIFS(
      [1]Склад!$F$14:$F$279,
      [1]Склад!$B$14:$B$279, A43,
      [1]Склад!$E$14:$E$279, "Итог на конец недели"
    ),
    ""
  ),
  ""
)</f>
        <v>13070</v>
      </c>
      <c r="D43" s="5">
        <f>IF(
  $D$1=[1]Склад!$G$13,
  IFERROR(
    SUMIFS(
      [1]Склад!$G$14:$G$279,
      [1]Склад!$B$14:$B$279, A43,
      [1]Склад!$E$14:$E$279, "Итог на конец недели"
    ),
    ""
  ),
  ""
)</f>
        <v>30139</v>
      </c>
      <c r="E43" s="5">
        <f>IF(
  $E$1=[1]Склад!$H$13,
  IFERROR(
    SUMIFS(
      [1]Склад!$H$14:$H$279,
      [1]Склад!$B$14:$B$279, A43,
      [1]Склад!$E$14:$E$279, "Итог на конец недели"
    ),
    ""
  ),
  ""
)</f>
        <v>38041</v>
      </c>
      <c r="F43" s="5">
        <f>IF(
  $F$1=[1]Склад!$I$13,
  IFERROR(
    SUMIFS(
      [1]Склад!$I$14:$I$279,
      [1]Склад!$B$14:$B$279, A43,
      [1]Склад!$E$14:$E$279, "Итог на конец недели"
    ),
    ""
  ),
  ""
)</f>
        <v>43390</v>
      </c>
      <c r="G43" s="5">
        <f>IF(
  $G$1=[1]Склад!$J$13,
  IFERROR(
    SUMIFS(
      [1]Склад!$J$14:$J$279,
      [1]Склад!$B$14:$B$279, A43,
      [1]Склад!$E$14:$E$279, "Итог на конец недели"
    ),
    ""
  ),
  ""
)</f>
        <v>13659</v>
      </c>
      <c r="H43" s="5">
        <f>IF(
  $H$1=[1]Склад!$K$13,
  IFERROR(
    SUMIFS(
      [1]Склад!$K$14:$K$279,
      [1]Склад!$B$14:$B$279, A43,
      [1]Склад!$E$14:$E$279, "Итог на конец недели"
    ),
    ""
  ),
  ""
)</f>
        <v>22317</v>
      </c>
      <c r="I43" s="5">
        <f>IF(
  $I$1=[1]Склад!$L$13,
  IFERROR(
    SUMIFS(
      [1]Склад!$L$14:$L$279,
      [1]Склад!$B$14:$B$279, A43,
      [1]Склад!$E$14:$E$279, "Итог на конец недели"
    ),
    ""
  ),
  ""
)</f>
        <v>3204</v>
      </c>
      <c r="J43" s="12">
        <f>IF(
  $J$1=[1]Склад!$O$13,
  IFERROR(
    SUMIFS(
      [1]Склад!$O$14:$O$279,
      [1]Склад!$B$14:$B$279, A43,
      [1]Склад!$E$14:$E$279, "Итог на конец недели"
    ),
    ""
  ),
  ""
)</f>
        <v>3340</v>
      </c>
    </row>
    <row r="44" spans="1:10" x14ac:dyDescent="0.25">
      <c r="A44" s="21">
        <v>43</v>
      </c>
      <c r="B44" s="22">
        <v>10</v>
      </c>
      <c r="C44" s="5" t="s">
        <v>13</v>
      </c>
      <c r="D44" s="5" t="s">
        <v>13</v>
      </c>
      <c r="E44" s="5" t="s">
        <v>13</v>
      </c>
      <c r="F44" s="5" t="s">
        <v>13</v>
      </c>
      <c r="G44" s="5" t="s">
        <v>13</v>
      </c>
      <c r="H44" s="5" t="s">
        <v>13</v>
      </c>
      <c r="I44" s="5" t="s">
        <v>13</v>
      </c>
      <c r="J44" s="5" t="s">
        <v>13</v>
      </c>
    </row>
    <row r="45" spans="1:10" x14ac:dyDescent="0.25">
      <c r="A45" s="21">
        <v>44</v>
      </c>
      <c r="B45" s="22">
        <v>10</v>
      </c>
      <c r="C45" s="5" t="s">
        <v>13</v>
      </c>
      <c r="D45" s="5" t="s">
        <v>13</v>
      </c>
      <c r="E45" s="5" t="s">
        <v>13</v>
      </c>
      <c r="F45" s="5" t="s">
        <v>13</v>
      </c>
      <c r="G45" s="5" t="s">
        <v>13</v>
      </c>
      <c r="H45" s="5" t="s">
        <v>13</v>
      </c>
      <c r="I45" s="5" t="s">
        <v>13</v>
      </c>
      <c r="J45" s="5" t="s">
        <v>13</v>
      </c>
    </row>
    <row r="46" spans="1:10" x14ac:dyDescent="0.25">
      <c r="A46" s="21">
        <v>45</v>
      </c>
      <c r="B46" s="22">
        <v>11</v>
      </c>
      <c r="C46" s="5" t="s">
        <v>13</v>
      </c>
      <c r="D46" s="5" t="s">
        <v>13</v>
      </c>
      <c r="E46" s="5" t="s">
        <v>13</v>
      </c>
      <c r="F46" s="5" t="s">
        <v>13</v>
      </c>
      <c r="G46" s="5" t="s">
        <v>13</v>
      </c>
      <c r="H46" s="5" t="s">
        <v>13</v>
      </c>
      <c r="I46" s="5" t="s">
        <v>13</v>
      </c>
      <c r="J46" s="5" t="s">
        <v>13</v>
      </c>
    </row>
    <row r="47" spans="1:10" x14ac:dyDescent="0.25">
      <c r="A47" s="21">
        <v>46</v>
      </c>
      <c r="B47" s="22">
        <v>11</v>
      </c>
      <c r="C47" s="5" t="s">
        <v>13</v>
      </c>
      <c r="D47" s="5" t="s">
        <v>13</v>
      </c>
      <c r="E47" s="5" t="s">
        <v>13</v>
      </c>
      <c r="F47" s="5" t="s">
        <v>13</v>
      </c>
      <c r="G47" s="5" t="s">
        <v>13</v>
      </c>
      <c r="H47" s="5" t="s">
        <v>13</v>
      </c>
      <c r="I47" s="5" t="s">
        <v>13</v>
      </c>
      <c r="J47" s="5" t="s">
        <v>13</v>
      </c>
    </row>
    <row r="48" spans="1:10" x14ac:dyDescent="0.25">
      <c r="A48" s="21">
        <v>47</v>
      </c>
      <c r="B48" s="22">
        <v>11</v>
      </c>
      <c r="C48" s="5" t="s">
        <v>13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I48" s="5" t="s">
        <v>13</v>
      </c>
      <c r="J48" s="5" t="s">
        <v>13</v>
      </c>
    </row>
    <row r="49" spans="1:10" x14ac:dyDescent="0.25">
      <c r="A49" s="21">
        <v>48</v>
      </c>
      <c r="B49" s="22">
        <v>11</v>
      </c>
      <c r="C49" s="5" t="s">
        <v>13</v>
      </c>
      <c r="D49" s="5" t="s">
        <v>13</v>
      </c>
      <c r="E49" s="5" t="s">
        <v>13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</row>
    <row r="50" spans="1:10" x14ac:dyDescent="0.25">
      <c r="A50" s="21">
        <v>49</v>
      </c>
      <c r="B50" s="22">
        <v>12</v>
      </c>
      <c r="C50" s="5" t="s">
        <v>13</v>
      </c>
      <c r="D50" s="5" t="s">
        <v>13</v>
      </c>
      <c r="E50" s="5" t="s">
        <v>13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</row>
    <row r="51" spans="1:10" x14ac:dyDescent="0.25">
      <c r="A51" s="21">
        <v>50</v>
      </c>
      <c r="B51" s="22">
        <v>12</v>
      </c>
      <c r="C51" s="5" t="s">
        <v>13</v>
      </c>
      <c r="D51" s="5" t="s">
        <v>13</v>
      </c>
      <c r="E51" s="5" t="s">
        <v>13</v>
      </c>
      <c r="F51" s="5" t="s">
        <v>13</v>
      </c>
      <c r="G51" s="5" t="s">
        <v>13</v>
      </c>
      <c r="H51" s="5" t="s">
        <v>13</v>
      </c>
      <c r="I51" s="5" t="s">
        <v>13</v>
      </c>
      <c r="J51" s="5" t="s">
        <v>13</v>
      </c>
    </row>
    <row r="52" spans="1:10" x14ac:dyDescent="0.25">
      <c r="A52" s="21">
        <v>51</v>
      </c>
      <c r="B52" s="22">
        <v>12</v>
      </c>
      <c r="C52" s="5" t="s">
        <v>13</v>
      </c>
      <c r="D52" s="5" t="s">
        <v>13</v>
      </c>
      <c r="E52" s="5" t="s">
        <v>13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13</v>
      </c>
    </row>
    <row r="53" spans="1:10" ht="15.75" thickBot="1" x14ac:dyDescent="0.3">
      <c r="A53" s="23">
        <v>52</v>
      </c>
      <c r="B53" s="24">
        <v>12</v>
      </c>
      <c r="C53" s="5" t="s">
        <v>13</v>
      </c>
      <c r="D53" s="5" t="s">
        <v>13</v>
      </c>
      <c r="E53" s="5" t="s">
        <v>13</v>
      </c>
      <c r="F53" s="5" t="s">
        <v>13</v>
      </c>
      <c r="G53" s="5" t="s">
        <v>13</v>
      </c>
      <c r="H53" s="5" t="s">
        <v>13</v>
      </c>
      <c r="I53" s="5" t="s">
        <v>13</v>
      </c>
      <c r="J53" s="5" t="s">
        <v>13</v>
      </c>
    </row>
    <row r="54" spans="1:10" x14ac:dyDescent="0.25">
      <c r="C54" s="6"/>
      <c r="D54" s="6"/>
      <c r="E54" s="6"/>
      <c r="F54" s="6"/>
      <c r="G54" s="6"/>
      <c r="H54" s="6"/>
      <c r="I54" s="6"/>
    </row>
    <row r="55" spans="1:10" x14ac:dyDescent="0.25">
      <c r="C55" s="6"/>
      <c r="D55" s="6"/>
      <c r="E55" s="6"/>
      <c r="F55" s="6"/>
      <c r="G55" s="6"/>
      <c r="H55" s="6"/>
      <c r="I55" s="6"/>
    </row>
    <row r="56" spans="1:10" x14ac:dyDescent="0.25">
      <c r="C56" s="6"/>
      <c r="D56" s="6"/>
      <c r="E56" s="6"/>
      <c r="F56" s="6"/>
      <c r="G56" s="6"/>
      <c r="H56" s="6"/>
      <c r="I56" s="6"/>
    </row>
    <row r="57" spans="1:10" x14ac:dyDescent="0.25">
      <c r="C57" s="6"/>
      <c r="D57" s="6"/>
      <c r="E57" s="6"/>
      <c r="F57" s="6"/>
      <c r="G57" s="6"/>
      <c r="H57" s="6"/>
      <c r="I57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411E-4E81-4348-9EF7-3897E7C3CA06}">
  <dimension ref="A1:C9"/>
  <sheetViews>
    <sheetView workbookViewId="0">
      <selection activeCell="E7" sqref="E7"/>
    </sheetView>
  </sheetViews>
  <sheetFormatPr defaultRowHeight="15" x14ac:dyDescent="0.25"/>
  <cols>
    <col min="1" max="1" width="21.5703125" customWidth="1"/>
    <col min="2" max="2" width="18.140625" customWidth="1"/>
    <col min="3" max="3" width="23.5703125" customWidth="1"/>
  </cols>
  <sheetData>
    <row r="1" spans="1:3" ht="30" x14ac:dyDescent="0.25">
      <c r="A1" s="7" t="s">
        <v>6</v>
      </c>
      <c r="B1" s="7" t="s">
        <v>5</v>
      </c>
      <c r="C1" s="7" t="s">
        <v>7</v>
      </c>
    </row>
    <row r="2" spans="1:3" x14ac:dyDescent="0.25">
      <c r="A2" s="8" t="s">
        <v>8</v>
      </c>
      <c r="B2" s="8">
        <v>54000</v>
      </c>
      <c r="C2" s="8">
        <v>24000</v>
      </c>
    </row>
    <row r="3" spans="1:3" ht="30" x14ac:dyDescent="0.25">
      <c r="A3" s="8" t="s">
        <v>0</v>
      </c>
      <c r="B3" s="8">
        <v>43200</v>
      </c>
      <c r="C3" s="8">
        <v>10000</v>
      </c>
    </row>
    <row r="4" spans="1:3" ht="30" x14ac:dyDescent="0.25">
      <c r="A4" s="8" t="s">
        <v>1</v>
      </c>
      <c r="B4" s="8">
        <v>38400</v>
      </c>
      <c r="C4" s="8">
        <v>28000</v>
      </c>
    </row>
    <row r="5" spans="1:3" x14ac:dyDescent="0.25">
      <c r="A5" s="8" t="s">
        <v>2</v>
      </c>
      <c r="B5" s="8">
        <v>16000</v>
      </c>
      <c r="C5" s="8">
        <v>0</v>
      </c>
    </row>
    <row r="6" spans="1:3" ht="30" x14ac:dyDescent="0.25">
      <c r="A6" s="8" t="s">
        <v>9</v>
      </c>
      <c r="B6" s="8">
        <v>5000</v>
      </c>
      <c r="C6" s="8">
        <v>5040</v>
      </c>
    </row>
    <row r="7" spans="1:3" x14ac:dyDescent="0.25">
      <c r="A7" s="8" t="s">
        <v>10</v>
      </c>
      <c r="B7" s="8">
        <v>5000</v>
      </c>
      <c r="C7" s="8">
        <v>19200</v>
      </c>
    </row>
    <row r="8" spans="1:3" x14ac:dyDescent="0.25">
      <c r="A8" s="8" t="s">
        <v>11</v>
      </c>
      <c r="B8" s="8">
        <v>5000</v>
      </c>
      <c r="C8" s="8">
        <v>1500</v>
      </c>
    </row>
    <row r="9" spans="1:3" x14ac:dyDescent="0.25">
      <c r="A9" s="8" t="s">
        <v>12</v>
      </c>
      <c r="B9" s="10">
        <v>5000</v>
      </c>
      <c r="C9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2DAD-7AB5-4D16-9862-AC0C4C3E6000}">
  <sheetPr>
    <tabColor theme="9" tint="0.59999389629810485"/>
  </sheetPr>
  <dimension ref="A1:U34"/>
  <sheetViews>
    <sheetView tabSelected="1" workbookViewId="0">
      <selection activeCell="X12" sqref="X12"/>
    </sheetView>
  </sheetViews>
  <sheetFormatPr defaultRowHeight="15" x14ac:dyDescent="0.25"/>
  <sheetData>
    <row r="1" spans="1:21" x14ac:dyDescent="0.25">
      <c r="A1" s="26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1:2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1:2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1:2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1:2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1:2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1:2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1:2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1:2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1:2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spans="1:2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pans="1:2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</sheetData>
  <mergeCells count="1">
    <mergeCell ref="A1:U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Расход</vt:lpstr>
      <vt:lpstr>Запасы</vt:lpstr>
      <vt:lpstr>Min</vt:lpstr>
      <vt:lpstr>Методы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Mitreykin, Daniil / Noytech / Dtv DATA</dc:creator>
  <cp:lastModifiedBy>Daniil Mitreykin</cp:lastModifiedBy>
  <dcterms:created xsi:type="dcterms:W3CDTF">2015-06-05T18:17:20Z</dcterms:created>
  <dcterms:modified xsi:type="dcterms:W3CDTF">2025-11-24T10:44:00Z</dcterms:modified>
</cp:coreProperties>
</file>