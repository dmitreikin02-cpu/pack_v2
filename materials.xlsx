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Расход" sheetId="1" r:id="rId1"/>
    <sheet name="Запасы" sheetId="2" r:id="rId2"/>
    <sheet name="Min" sheetId="3" r:id="rId3"/>
    <sheet name="Прогноз_продаж" sheetId="4" r:id="rId4"/>
    <sheet name="Закупки" sheetId="5" r:id="rId5"/>
    <sheet name="Прогноз_закупок" sheetId="6" r:id="rId6"/>
    <sheet name="Методы" sheetId="7" r:id="rId7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4" formatCode="_-* #,##0\ _€_-;\-* #,##0\ _€_-;_-* &quot;-&quot;\ _€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4"/>
  <sheetViews>
    <sheetView workbookViewId="0" rightToLeft="0"/>
  </sheetViews>
  <sheetData>
    <row r="1" xml:space="preserve">
      <c r="A1" t="str">
        <v>CW</v>
      </c>
      <c r="B1" t="str">
        <v>Month</v>
      </c>
      <c r="C1" t="str">
        <v>MEDIUM 800х600х300</v>
      </c>
      <c r="D1" t="str" xml:space="preserve">
        <v xml:space="preserve">MEDIUM 600х400х400_x000d_
R-mixed</v>
      </c>
      <c r="E1" t="str" xml:space="preserve">
        <v xml:space="preserve">MEDIUM 400х300х300_x000d_
R-mixed</v>
      </c>
      <c r="F1" t="str">
        <v>MEDIUM 400х300х150</v>
      </c>
      <c r="G1" t="str">
        <v>MEDIUM 300*210*100               R-mixed</v>
      </c>
      <c r="H1" t="str">
        <v>Скотч R-mixed</v>
      </c>
      <c r="I1" t="str">
        <v>Скотч цветной</v>
      </c>
      <c r="J1" t="str">
        <v xml:space="preserve">Стрейч прозрачный </v>
      </c>
    </row>
    <row r="2">
      <c r="A2">
        <v>1</v>
      </c>
      <c r="B2">
        <v>1</v>
      </c>
      <c r="C2" t="str">
        <v>-</v>
      </c>
      <c r="D2" t="str">
        <v>-</v>
      </c>
      <c r="E2" t="str">
        <v>-</v>
      </c>
      <c r="F2" t="str">
        <v>-</v>
      </c>
      <c r="G2" t="str">
        <v>-</v>
      </c>
      <c r="H2" t="str">
        <v>-</v>
      </c>
      <c r="I2" t="str">
        <v>-</v>
      </c>
      <c r="J2" t="str">
        <v>-</v>
      </c>
    </row>
    <row r="3">
      <c r="A3">
        <v>2</v>
      </c>
      <c r="B3">
        <v>1</v>
      </c>
      <c r="C3" t="str">
        <v>-</v>
      </c>
      <c r="D3" t="str">
        <v>-</v>
      </c>
      <c r="E3" t="str">
        <v>-</v>
      </c>
      <c r="F3" t="str">
        <v>-</v>
      </c>
      <c r="G3" t="str">
        <v>-</v>
      </c>
      <c r="H3" t="str">
        <v>-</v>
      </c>
      <c r="I3" t="str">
        <v>-</v>
      </c>
      <c r="J3" t="str">
        <v>-</v>
      </c>
    </row>
    <row r="4">
      <c r="A4">
        <v>3</v>
      </c>
      <c r="B4">
        <v>1</v>
      </c>
      <c r="C4" t="str">
        <v>-</v>
      </c>
      <c r="D4" t="str">
        <v>-</v>
      </c>
      <c r="E4" t="str">
        <v>-</v>
      </c>
      <c r="F4" t="str">
        <v>-</v>
      </c>
      <c r="G4" t="str">
        <v>-</v>
      </c>
      <c r="H4" t="str">
        <v>-</v>
      </c>
      <c r="I4" t="str">
        <v>-</v>
      </c>
      <c r="J4" t="str">
        <v>-</v>
      </c>
    </row>
    <row r="5">
      <c r="A5">
        <v>4</v>
      </c>
      <c r="B5">
        <v>1</v>
      </c>
      <c r="C5" t="str">
        <v>-</v>
      </c>
      <c r="D5" t="str">
        <v>-</v>
      </c>
      <c r="E5" t="str">
        <v>-</v>
      </c>
      <c r="F5" t="str">
        <v>-</v>
      </c>
      <c r="G5" t="str">
        <v>-</v>
      </c>
      <c r="H5" t="str">
        <v>-</v>
      </c>
      <c r="I5" t="str">
        <v>-</v>
      </c>
      <c r="J5" t="str">
        <v>-</v>
      </c>
    </row>
    <row r="6">
      <c r="A6">
        <v>5</v>
      </c>
      <c r="B6">
        <v>1</v>
      </c>
      <c r="C6" t="str">
        <v>-</v>
      </c>
      <c r="D6" t="str">
        <v>-</v>
      </c>
      <c r="E6" t="str">
        <v>-</v>
      </c>
      <c r="F6" t="str">
        <v>-</v>
      </c>
      <c r="G6" t="str">
        <v>-</v>
      </c>
      <c r="H6" t="str">
        <v>-</v>
      </c>
      <c r="I6" t="str">
        <v>-</v>
      </c>
      <c r="J6" t="str">
        <v>-</v>
      </c>
    </row>
    <row r="7">
      <c r="A7">
        <v>6</v>
      </c>
      <c r="B7">
        <v>2</v>
      </c>
      <c r="C7" t="str">
        <v>-</v>
      </c>
      <c r="D7" t="str">
        <v>-</v>
      </c>
      <c r="E7" t="str">
        <v>-</v>
      </c>
      <c r="F7" t="str">
        <v>-</v>
      </c>
      <c r="G7" t="str">
        <v>-</v>
      </c>
      <c r="H7" t="str">
        <v>-</v>
      </c>
      <c r="I7" t="str">
        <v>-</v>
      </c>
      <c r="J7" t="str">
        <v>-</v>
      </c>
    </row>
    <row r="8">
      <c r="A8">
        <v>7</v>
      </c>
      <c r="B8">
        <v>2</v>
      </c>
      <c r="C8" t="str">
        <v>-</v>
      </c>
      <c r="D8" t="str">
        <v>-</v>
      </c>
      <c r="E8" t="str">
        <v>-</v>
      </c>
      <c r="F8" t="str">
        <v>-</v>
      </c>
      <c r="G8" t="str">
        <v>-</v>
      </c>
      <c r="H8" t="str">
        <v>-</v>
      </c>
      <c r="I8" t="str">
        <v>-</v>
      </c>
      <c r="J8" t="str">
        <v>-</v>
      </c>
    </row>
    <row r="9">
      <c r="A9">
        <v>8</v>
      </c>
      <c r="B9">
        <v>2</v>
      </c>
      <c r="C9" t="str">
        <v>-</v>
      </c>
      <c r="D9" t="str">
        <v>-</v>
      </c>
      <c r="E9" t="str">
        <v>-</v>
      </c>
      <c r="F9" t="str">
        <v>-</v>
      </c>
      <c r="G9" t="str">
        <v>-</v>
      </c>
      <c r="H9" t="str">
        <v>-</v>
      </c>
      <c r="I9" t="str">
        <v>-</v>
      </c>
      <c r="J9" t="str">
        <v>-</v>
      </c>
    </row>
    <row r="10">
      <c r="A10">
        <v>9</v>
      </c>
      <c r="B10">
        <v>2</v>
      </c>
      <c r="C10" t="str">
        <v>-</v>
      </c>
      <c r="D10" t="str">
        <v>-</v>
      </c>
      <c r="E10" t="str">
        <v>-</v>
      </c>
      <c r="F10" t="str">
        <v>-</v>
      </c>
      <c r="G10" t="str">
        <v>-</v>
      </c>
      <c r="H10" t="str">
        <v>-</v>
      </c>
      <c r="I10" t="str">
        <v>-</v>
      </c>
      <c r="J10" t="str">
        <v>-</v>
      </c>
    </row>
    <row r="11">
      <c r="A11">
        <v>10</v>
      </c>
      <c r="B11">
        <v>3</v>
      </c>
      <c r="C11" t="str">
        <v>-</v>
      </c>
      <c r="D11" t="str">
        <v>-</v>
      </c>
      <c r="E11" t="str">
        <v>-</v>
      </c>
      <c r="F11" t="str">
        <v>-</v>
      </c>
      <c r="G11" t="str">
        <v>-</v>
      </c>
      <c r="H11" t="str">
        <v>-</v>
      </c>
      <c r="I11" t="str">
        <v>-</v>
      </c>
      <c r="J11" t="str">
        <v>-</v>
      </c>
    </row>
    <row r="12">
      <c r="A12">
        <v>11</v>
      </c>
      <c r="B12">
        <v>3</v>
      </c>
      <c r="C12" t="str">
        <v>-</v>
      </c>
      <c r="D12" t="str">
        <v>-</v>
      </c>
      <c r="E12" t="str">
        <v>-</v>
      </c>
      <c r="F12" t="str">
        <v>-</v>
      </c>
      <c r="G12" t="str">
        <v>-</v>
      </c>
      <c r="H12" t="str">
        <v>-</v>
      </c>
      <c r="I12" t="str">
        <v>-</v>
      </c>
      <c r="J12" t="str">
        <v>-</v>
      </c>
    </row>
    <row r="13">
      <c r="A13">
        <v>12</v>
      </c>
      <c r="B13">
        <v>3</v>
      </c>
      <c r="C13" t="str">
        <v>-</v>
      </c>
      <c r="D13" t="str">
        <v>-</v>
      </c>
      <c r="E13" t="str">
        <v>-</v>
      </c>
      <c r="F13" t="str">
        <v>-</v>
      </c>
      <c r="G13" t="str">
        <v>-</v>
      </c>
      <c r="H13" t="str">
        <v>-</v>
      </c>
      <c r="I13" t="str">
        <v>-</v>
      </c>
      <c r="J13" t="str">
        <v>-</v>
      </c>
    </row>
    <row r="14">
      <c r="A14">
        <v>13</v>
      </c>
      <c r="B14">
        <v>3</v>
      </c>
      <c r="C14" t="str">
        <v>-</v>
      </c>
      <c r="D14" t="str">
        <v>-</v>
      </c>
      <c r="E14" t="str">
        <v>-</v>
      </c>
      <c r="F14" t="str">
        <v>-</v>
      </c>
      <c r="G14" t="str">
        <v>-</v>
      </c>
      <c r="H14" t="str">
        <v>-</v>
      </c>
      <c r="I14" t="str">
        <v>-</v>
      </c>
      <c r="J14" t="str">
        <v>-</v>
      </c>
    </row>
    <row r="15">
      <c r="A15">
        <v>14</v>
      </c>
      <c r="B15">
        <v>4</v>
      </c>
      <c r="C15" t="str">
        <v>-</v>
      </c>
      <c r="D15" t="str">
        <v>-</v>
      </c>
      <c r="E15" t="str">
        <v>-</v>
      </c>
      <c r="F15" t="str">
        <v>-</v>
      </c>
      <c r="G15" t="str">
        <v>-</v>
      </c>
      <c r="H15" t="str">
        <v>-</v>
      </c>
      <c r="I15" t="str">
        <v>-</v>
      </c>
      <c r="J15" t="str">
        <v>-</v>
      </c>
    </row>
    <row r="16">
      <c r="A16">
        <v>15</v>
      </c>
      <c r="B16">
        <v>4</v>
      </c>
      <c r="C16" t="str">
        <v>-</v>
      </c>
      <c r="D16" t="str">
        <v>-</v>
      </c>
      <c r="E16" t="str">
        <v>-</v>
      </c>
      <c r="F16" t="str">
        <v>-</v>
      </c>
      <c r="G16" t="str">
        <v>-</v>
      </c>
      <c r="H16" t="str">
        <v>-</v>
      </c>
      <c r="I16" t="str">
        <v>-</v>
      </c>
      <c r="J16" t="str">
        <v>-</v>
      </c>
    </row>
    <row r="17">
      <c r="A17">
        <v>16</v>
      </c>
      <c r="B17">
        <v>4</v>
      </c>
      <c r="C17" t="str">
        <v>-</v>
      </c>
      <c r="D17" t="str">
        <v>-</v>
      </c>
      <c r="E17" t="str">
        <v>-</v>
      </c>
      <c r="F17" t="str">
        <v>-</v>
      </c>
      <c r="G17" t="str">
        <v>-</v>
      </c>
      <c r="H17" t="str">
        <v>-</v>
      </c>
      <c r="I17" t="str">
        <v>-</v>
      </c>
      <c r="J17" t="str">
        <v>-</v>
      </c>
    </row>
    <row r="18">
      <c r="A18">
        <v>17</v>
      </c>
      <c r="B18">
        <v>4</v>
      </c>
      <c r="C18" t="str">
        <v>-</v>
      </c>
      <c r="D18" t="str">
        <v>-</v>
      </c>
      <c r="E18" t="str">
        <v>-</v>
      </c>
      <c r="F18" t="str">
        <v>-</v>
      </c>
      <c r="G18" t="str">
        <v>-</v>
      </c>
      <c r="H18" t="str">
        <v>-</v>
      </c>
      <c r="I18" t="str">
        <v>-</v>
      </c>
      <c r="J18" t="str">
        <v>-</v>
      </c>
    </row>
    <row r="19">
      <c r="A19">
        <v>18</v>
      </c>
      <c r="B19">
        <v>5</v>
      </c>
      <c r="C19" t="str">
        <v>-</v>
      </c>
      <c r="D19" t="str">
        <v>-</v>
      </c>
      <c r="E19" t="str">
        <v>-</v>
      </c>
      <c r="F19" t="str">
        <v>-</v>
      </c>
      <c r="G19" t="str">
        <v>-</v>
      </c>
      <c r="H19" t="str">
        <v>-</v>
      </c>
      <c r="I19" t="str">
        <v>-</v>
      </c>
      <c r="J19" t="str">
        <v>-</v>
      </c>
    </row>
    <row r="20">
      <c r="A20">
        <v>19</v>
      </c>
      <c r="B20">
        <v>5</v>
      </c>
      <c r="C20" t="str">
        <v>-</v>
      </c>
      <c r="D20" t="str">
        <v>-</v>
      </c>
      <c r="E20" t="str">
        <v>-</v>
      </c>
      <c r="F20" t="str">
        <v>-</v>
      </c>
      <c r="G20" t="str">
        <v>-</v>
      </c>
      <c r="H20" t="str">
        <v>-</v>
      </c>
      <c r="I20" t="str">
        <v>-</v>
      </c>
      <c r="J20" t="str">
        <v>-</v>
      </c>
    </row>
    <row r="21">
      <c r="A21">
        <v>20</v>
      </c>
      <c r="B21">
        <v>5</v>
      </c>
      <c r="C21" t="str">
        <v>-</v>
      </c>
      <c r="D21" t="str">
        <v>-</v>
      </c>
      <c r="E21" t="str">
        <v>-</v>
      </c>
      <c r="F21" t="str">
        <v>-</v>
      </c>
      <c r="G21" t="str">
        <v>-</v>
      </c>
      <c r="H21" t="str">
        <v>-</v>
      </c>
      <c r="I21" t="str">
        <v>-</v>
      </c>
      <c r="J21" t="str">
        <v>-</v>
      </c>
    </row>
    <row r="22">
      <c r="A22">
        <v>21</v>
      </c>
      <c r="B22">
        <v>5</v>
      </c>
      <c r="C22">
        <v>0</v>
      </c>
      <c r="D22">
        <v>1784</v>
      </c>
      <c r="E22">
        <v>2080</v>
      </c>
      <c r="F22">
        <v>1376</v>
      </c>
      <c r="G22">
        <v>0</v>
      </c>
      <c r="H22">
        <v>294</v>
      </c>
      <c r="I22">
        <v>0</v>
      </c>
      <c r="J22">
        <v>126</v>
      </c>
    </row>
    <row r="23">
      <c r="A23">
        <v>22</v>
      </c>
      <c r="B23">
        <v>5</v>
      </c>
      <c r="C23">
        <v>0</v>
      </c>
      <c r="D23">
        <v>1621</v>
      </c>
      <c r="E23">
        <v>1852</v>
      </c>
      <c r="F23">
        <v>1122</v>
      </c>
      <c r="G23">
        <v>0</v>
      </c>
      <c r="H23">
        <v>211</v>
      </c>
      <c r="I23">
        <v>0</v>
      </c>
      <c r="J23">
        <v>132</v>
      </c>
    </row>
    <row r="24">
      <c r="A24">
        <v>23</v>
      </c>
      <c r="B24">
        <v>6</v>
      </c>
      <c r="C24">
        <v>360</v>
      </c>
      <c r="D24">
        <v>1723</v>
      </c>
      <c r="E24">
        <v>1652</v>
      </c>
      <c r="F24">
        <v>1680</v>
      </c>
      <c r="G24">
        <v>1723</v>
      </c>
      <c r="H24">
        <v>203</v>
      </c>
      <c r="I24">
        <v>0</v>
      </c>
      <c r="J24">
        <v>126</v>
      </c>
    </row>
    <row r="25">
      <c r="A25">
        <v>24</v>
      </c>
      <c r="B25">
        <v>6</v>
      </c>
      <c r="C25">
        <v>720</v>
      </c>
      <c r="D25">
        <v>2712</v>
      </c>
      <c r="E25">
        <v>2096</v>
      </c>
      <c r="F25">
        <v>1746</v>
      </c>
      <c r="G25">
        <v>2712</v>
      </c>
      <c r="H25">
        <v>309</v>
      </c>
      <c r="I25">
        <v>0</v>
      </c>
      <c r="J25">
        <v>98</v>
      </c>
    </row>
    <row r="26">
      <c r="A26">
        <v>25</v>
      </c>
      <c r="B26">
        <v>6</v>
      </c>
      <c r="C26">
        <v>120</v>
      </c>
      <c r="D26">
        <v>2498</v>
      </c>
      <c r="E26">
        <v>2113</v>
      </c>
      <c r="F26">
        <v>1812</v>
      </c>
      <c r="G26">
        <v>2498</v>
      </c>
      <c r="H26">
        <v>316</v>
      </c>
      <c r="I26">
        <v>0</v>
      </c>
      <c r="J26">
        <v>86</v>
      </c>
    </row>
    <row r="27">
      <c r="A27">
        <v>26</v>
      </c>
      <c r="B27">
        <v>6</v>
      </c>
      <c r="C27">
        <v>600</v>
      </c>
      <c r="D27">
        <v>2369</v>
      </c>
      <c r="E27">
        <v>2477</v>
      </c>
      <c r="F27">
        <v>1856</v>
      </c>
      <c r="G27">
        <v>2369</v>
      </c>
      <c r="H27">
        <v>302</v>
      </c>
      <c r="I27">
        <v>0</v>
      </c>
      <c r="J27">
        <v>84</v>
      </c>
    </row>
    <row r="28">
      <c r="A28">
        <v>27</v>
      </c>
      <c r="B28">
        <v>6</v>
      </c>
      <c r="C28">
        <v>860</v>
      </c>
      <c r="D28">
        <v>2465</v>
      </c>
      <c r="E28">
        <v>2515</v>
      </c>
      <c r="F28">
        <v>2001</v>
      </c>
      <c r="G28">
        <v>2465</v>
      </c>
      <c r="H28">
        <v>1119</v>
      </c>
      <c r="I28">
        <v>0</v>
      </c>
      <c r="J28">
        <v>94</v>
      </c>
    </row>
    <row r="29">
      <c r="A29">
        <v>28</v>
      </c>
      <c r="B29">
        <v>7</v>
      </c>
      <c r="C29">
        <v>1540</v>
      </c>
      <c r="D29">
        <v>2311</v>
      </c>
      <c r="E29">
        <v>1560</v>
      </c>
      <c r="F29">
        <v>2497</v>
      </c>
      <c r="G29">
        <v>2311</v>
      </c>
      <c r="H29">
        <v>1234</v>
      </c>
      <c r="I29">
        <v>0</v>
      </c>
      <c r="J29">
        <v>101</v>
      </c>
    </row>
    <row r="30">
      <c r="A30">
        <v>29</v>
      </c>
      <c r="B30">
        <v>7</v>
      </c>
      <c r="C30">
        <v>800</v>
      </c>
      <c r="D30">
        <v>2465</v>
      </c>
      <c r="E30">
        <v>1240</v>
      </c>
      <c r="F30">
        <v>2752</v>
      </c>
      <c r="G30">
        <v>2465</v>
      </c>
      <c r="H30">
        <v>2003</v>
      </c>
      <c r="I30">
        <v>0</v>
      </c>
      <c r="J30">
        <v>103</v>
      </c>
    </row>
    <row r="31">
      <c r="A31">
        <v>30</v>
      </c>
      <c r="B31">
        <v>7</v>
      </c>
      <c r="C31">
        <v>1040</v>
      </c>
      <c r="D31">
        <v>2513</v>
      </c>
      <c r="E31">
        <v>1120</v>
      </c>
      <c r="F31">
        <v>2811</v>
      </c>
      <c r="G31">
        <v>2513</v>
      </c>
      <c r="H31">
        <v>1998</v>
      </c>
      <c r="I31">
        <v>0</v>
      </c>
      <c r="J31">
        <v>105</v>
      </c>
    </row>
    <row r="32">
      <c r="A32">
        <v>31</v>
      </c>
      <c r="B32">
        <v>7</v>
      </c>
      <c r="C32">
        <v>0</v>
      </c>
      <c r="D32">
        <v>2610</v>
      </c>
      <c r="E32">
        <v>2800</v>
      </c>
      <c r="F32">
        <v>2803</v>
      </c>
      <c r="G32">
        <v>2610</v>
      </c>
      <c r="H32">
        <v>1473</v>
      </c>
      <c r="I32">
        <v>0</v>
      </c>
      <c r="J32">
        <v>119</v>
      </c>
    </row>
    <row r="33">
      <c r="A33">
        <v>32</v>
      </c>
      <c r="B33">
        <v>8</v>
      </c>
      <c r="C33">
        <v>1722</v>
      </c>
      <c r="D33">
        <v>2714</v>
      </c>
      <c r="E33">
        <v>2906</v>
      </c>
      <c r="F33">
        <v>3412</v>
      </c>
      <c r="G33">
        <v>2714</v>
      </c>
      <c r="H33">
        <v>1368</v>
      </c>
      <c r="I33">
        <v>0</v>
      </c>
      <c r="J33">
        <v>749</v>
      </c>
    </row>
    <row r="34">
      <c r="A34">
        <v>33</v>
      </c>
      <c r="B34">
        <v>8</v>
      </c>
      <c r="C34">
        <v>360</v>
      </c>
      <c r="D34">
        <v>2164</v>
      </c>
      <c r="E34">
        <v>954</v>
      </c>
      <c r="F34">
        <v>3526</v>
      </c>
      <c r="G34">
        <v>2164</v>
      </c>
      <c r="H34">
        <v>1632</v>
      </c>
      <c r="I34">
        <v>0</v>
      </c>
      <c r="J34">
        <v>136</v>
      </c>
    </row>
    <row r="35">
      <c r="A35">
        <v>34</v>
      </c>
      <c r="B35">
        <v>8</v>
      </c>
      <c r="C35">
        <v>360</v>
      </c>
      <c r="D35">
        <v>2335</v>
      </c>
      <c r="E35">
        <v>865</v>
      </c>
      <c r="F35">
        <v>2198</v>
      </c>
      <c r="G35">
        <v>2335</v>
      </c>
      <c r="H35">
        <v>1731</v>
      </c>
      <c r="I35">
        <v>0</v>
      </c>
      <c r="J35">
        <v>142</v>
      </c>
    </row>
    <row r="36">
      <c r="A36">
        <v>35</v>
      </c>
      <c r="B36">
        <v>8</v>
      </c>
      <c r="C36">
        <v>1320</v>
      </c>
      <c r="D36">
        <v>2706</v>
      </c>
      <c r="E36">
        <v>2555</v>
      </c>
      <c r="F36">
        <v>11992</v>
      </c>
      <c r="G36">
        <v>2706</v>
      </c>
      <c r="H36">
        <v>1557</v>
      </c>
      <c r="I36">
        <v>0</v>
      </c>
      <c r="J36">
        <v>148</v>
      </c>
    </row>
    <row r="37">
      <c r="A37">
        <v>36</v>
      </c>
      <c r="B37">
        <v>9</v>
      </c>
      <c r="C37">
        <v>720</v>
      </c>
      <c r="D37">
        <v>4234</v>
      </c>
      <c r="E37">
        <v>3920</v>
      </c>
      <c r="F37">
        <v>2584</v>
      </c>
      <c r="G37">
        <v>4234</v>
      </c>
      <c r="H37">
        <v>2058</v>
      </c>
      <c r="I37">
        <v>0</v>
      </c>
      <c r="J37">
        <v>106</v>
      </c>
    </row>
    <row r="38">
      <c r="A38">
        <v>37</v>
      </c>
      <c r="B38">
        <v>9</v>
      </c>
      <c r="C38">
        <v>600</v>
      </c>
      <c r="D38">
        <v>3630</v>
      </c>
      <c r="E38">
        <v>1680</v>
      </c>
      <c r="F38">
        <v>2240</v>
      </c>
      <c r="G38">
        <v>3630</v>
      </c>
      <c r="H38">
        <v>910</v>
      </c>
      <c r="I38">
        <v>0</v>
      </c>
      <c r="J38">
        <v>98</v>
      </c>
    </row>
    <row r="39">
      <c r="A39">
        <v>38</v>
      </c>
      <c r="B39">
        <v>9</v>
      </c>
      <c r="C39">
        <v>462</v>
      </c>
      <c r="D39">
        <v>3025</v>
      </c>
      <c r="E39">
        <v>1120</v>
      </c>
      <c r="F39">
        <v>2928</v>
      </c>
      <c r="G39">
        <v>3025</v>
      </c>
      <c r="H39">
        <v>440</v>
      </c>
      <c r="I39">
        <v>0</v>
      </c>
      <c r="J39">
        <v>36</v>
      </c>
    </row>
    <row r="40">
      <c r="A40">
        <v>39</v>
      </c>
      <c r="B40">
        <v>9</v>
      </c>
      <c r="C40">
        <v>302</v>
      </c>
      <c r="D40">
        <v>2957</v>
      </c>
      <c r="E40">
        <v>1069</v>
      </c>
      <c r="F40">
        <v>2495</v>
      </c>
      <c r="G40">
        <v>2957</v>
      </c>
      <c r="H40">
        <v>528</v>
      </c>
      <c r="I40">
        <v>0</v>
      </c>
      <c r="J40">
        <v>12</v>
      </c>
    </row>
    <row r="41">
      <c r="A41">
        <v>40</v>
      </c>
      <c r="B41">
        <v>10</v>
      </c>
      <c r="C41">
        <v>418</v>
      </c>
      <c r="D41">
        <v>1998</v>
      </c>
      <c r="E41">
        <v>1403</v>
      </c>
      <c r="F41">
        <v>2010</v>
      </c>
      <c r="G41">
        <v>1998</v>
      </c>
      <c r="H41">
        <v>126</v>
      </c>
      <c r="I41">
        <v>0</v>
      </c>
      <c r="J41">
        <v>8</v>
      </c>
    </row>
    <row r="42">
      <c r="A42">
        <v>41</v>
      </c>
      <c r="B42">
        <v>10</v>
      </c>
      <c r="C42">
        <v>241</v>
      </c>
      <c r="D42">
        <v>2246</v>
      </c>
      <c r="E42">
        <v>1487</v>
      </c>
      <c r="F42">
        <v>2765</v>
      </c>
      <c r="G42">
        <v>2246</v>
      </c>
      <c r="H42">
        <v>1218</v>
      </c>
      <c r="I42">
        <v>0</v>
      </c>
      <c r="J42">
        <v>9</v>
      </c>
    </row>
    <row r="43">
      <c r="A43">
        <v>42</v>
      </c>
      <c r="B43">
        <v>10</v>
      </c>
      <c r="C43">
        <v>147</v>
      </c>
      <c r="D43">
        <v>1925</v>
      </c>
      <c r="E43">
        <v>560</v>
      </c>
      <c r="F43">
        <v>560</v>
      </c>
      <c r="G43">
        <v>1925</v>
      </c>
      <c r="H43">
        <v>987</v>
      </c>
      <c r="I43">
        <v>0</v>
      </c>
      <c r="J43">
        <v>15</v>
      </c>
    </row>
    <row r="44">
      <c r="A44">
        <v>43</v>
      </c>
      <c r="B44">
        <v>10</v>
      </c>
      <c r="C44" t="str">
        <v>-</v>
      </c>
      <c r="D44" t="str">
        <v>-</v>
      </c>
      <c r="E44" t="str">
        <v>-</v>
      </c>
      <c r="F44" t="str">
        <v>-</v>
      </c>
      <c r="G44" t="str">
        <v>-</v>
      </c>
      <c r="H44" t="str">
        <v>-</v>
      </c>
      <c r="I44" t="str">
        <v>-</v>
      </c>
      <c r="J44" t="str">
        <v>-</v>
      </c>
    </row>
    <row r="45">
      <c r="A45">
        <v>44</v>
      </c>
      <c r="B45">
        <v>10</v>
      </c>
      <c r="C45" t="str">
        <v>-</v>
      </c>
      <c r="D45" t="str">
        <v>-</v>
      </c>
      <c r="E45" t="str">
        <v>-</v>
      </c>
      <c r="F45" t="str">
        <v>-</v>
      </c>
      <c r="G45" t="str">
        <v>-</v>
      </c>
      <c r="H45" t="str">
        <v>-</v>
      </c>
      <c r="I45" t="str">
        <v>-</v>
      </c>
      <c r="J45" t="str">
        <v>-</v>
      </c>
    </row>
    <row r="46">
      <c r="A46">
        <v>45</v>
      </c>
      <c r="B46">
        <v>11</v>
      </c>
      <c r="C46" t="str">
        <v>-</v>
      </c>
      <c r="D46" t="str">
        <v>-</v>
      </c>
      <c r="E46" t="str">
        <v>-</v>
      </c>
      <c r="F46" t="str">
        <v>-</v>
      </c>
      <c r="G46" t="str">
        <v>-</v>
      </c>
      <c r="H46" t="str">
        <v>-</v>
      </c>
      <c r="I46" t="str">
        <v>-</v>
      </c>
      <c r="J46" t="str">
        <v>-</v>
      </c>
    </row>
    <row r="47">
      <c r="A47">
        <v>46</v>
      </c>
      <c r="B47">
        <v>11</v>
      </c>
      <c r="C47" t="str">
        <v>-</v>
      </c>
      <c r="D47" t="str">
        <v>-</v>
      </c>
      <c r="E47" t="str">
        <v>-</v>
      </c>
      <c r="F47" t="str">
        <v>-</v>
      </c>
      <c r="G47" t="str">
        <v>-</v>
      </c>
      <c r="H47" t="str">
        <v>-</v>
      </c>
      <c r="I47" t="str">
        <v>-</v>
      </c>
      <c r="J47" t="str">
        <v>-</v>
      </c>
    </row>
    <row r="48">
      <c r="A48">
        <v>47</v>
      </c>
      <c r="B48">
        <v>11</v>
      </c>
      <c r="C48" t="str">
        <v>-</v>
      </c>
      <c r="D48" t="str">
        <v>-</v>
      </c>
      <c r="E48" t="str">
        <v>-</v>
      </c>
      <c r="F48" t="str">
        <v>-</v>
      </c>
      <c r="G48" t="str">
        <v>-</v>
      </c>
      <c r="H48" t="str">
        <v>-</v>
      </c>
      <c r="I48" t="str">
        <v>-</v>
      </c>
      <c r="J48" t="str">
        <v>-</v>
      </c>
    </row>
    <row r="49">
      <c r="A49">
        <v>48</v>
      </c>
      <c r="B49">
        <v>11</v>
      </c>
      <c r="C49" t="str">
        <v>-</v>
      </c>
      <c r="D49" t="str">
        <v>-</v>
      </c>
      <c r="E49" t="str">
        <v>-</v>
      </c>
      <c r="F49" t="str">
        <v>-</v>
      </c>
      <c r="G49" t="str">
        <v>-</v>
      </c>
      <c r="H49" t="str">
        <v>-</v>
      </c>
      <c r="I49" t="str">
        <v>-</v>
      </c>
      <c r="J49" t="str">
        <v>-</v>
      </c>
    </row>
    <row r="50">
      <c r="A50">
        <v>49</v>
      </c>
      <c r="B50">
        <v>12</v>
      </c>
      <c r="C50" t="str">
        <v>-</v>
      </c>
      <c r="D50" t="str">
        <v>-</v>
      </c>
      <c r="E50" t="str">
        <v>-</v>
      </c>
      <c r="F50" t="str">
        <v>-</v>
      </c>
      <c r="G50" t="str">
        <v>-</v>
      </c>
      <c r="H50" t="str">
        <v>-</v>
      </c>
      <c r="I50" t="str">
        <v>-</v>
      </c>
      <c r="J50" t="str">
        <v>-</v>
      </c>
    </row>
    <row r="51">
      <c r="A51">
        <v>50</v>
      </c>
      <c r="B51">
        <v>12</v>
      </c>
      <c r="C51" t="str">
        <v>-</v>
      </c>
      <c r="D51" t="str">
        <v>-</v>
      </c>
      <c r="E51" t="str">
        <v>-</v>
      </c>
      <c r="F51" t="str">
        <v>-</v>
      </c>
      <c r="G51" t="str">
        <v>-</v>
      </c>
      <c r="H51" t="str">
        <v>-</v>
      </c>
      <c r="I51" t="str">
        <v>-</v>
      </c>
      <c r="J51" t="str">
        <v>-</v>
      </c>
    </row>
    <row r="52">
      <c r="A52">
        <v>51</v>
      </c>
      <c r="B52">
        <v>12</v>
      </c>
      <c r="C52" t="str">
        <v>-</v>
      </c>
      <c r="D52" t="str">
        <v>-</v>
      </c>
      <c r="E52" t="str">
        <v>-</v>
      </c>
      <c r="F52" t="str">
        <v>-</v>
      </c>
      <c r="G52" t="str">
        <v>-</v>
      </c>
      <c r="H52" t="str">
        <v>-</v>
      </c>
      <c r="I52" t="str">
        <v>-</v>
      </c>
      <c r="J52" t="str">
        <v>-</v>
      </c>
    </row>
    <row r="53">
      <c r="A53">
        <v>52</v>
      </c>
      <c r="B53">
        <v>12</v>
      </c>
      <c r="C53" t="str">
        <v>-</v>
      </c>
      <c r="D53" t="str">
        <v>-</v>
      </c>
      <c r="E53" t="str">
        <v>-</v>
      </c>
      <c r="F53" t="str">
        <v>-</v>
      </c>
      <c r="G53" t="str">
        <v>-</v>
      </c>
      <c r="H53" t="str">
        <v>-</v>
      </c>
      <c r="I53" t="str">
        <v>-</v>
      </c>
      <c r="J53" t="str">
        <v>-</v>
      </c>
    </row>
  </sheetData>
  <pageMargins left="0.7" right="0.7" top="0.75" bottom="0.75" header="0.3" footer="0.3"/>
  <ignoredErrors>
    <ignoredError numberStoredAsText="1" sqref="A1:J5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J57"/>
  <sheetViews>
    <sheetView workbookViewId="0" rightToLeft="0"/>
  </sheetViews>
  <sheetData>
    <row r="1" xml:space="preserve">
      <c r="A1" t="str">
        <v>CW</v>
      </c>
      <c r="B1" t="str">
        <v>Month</v>
      </c>
      <c r="C1" t="str">
        <v>MEDIUM 800х600х300</v>
      </c>
      <c r="D1" t="str" xml:space="preserve">
        <v xml:space="preserve">MEDIUM 600х400х400_x000d_
R-mixed</v>
      </c>
      <c r="E1" t="str" xml:space="preserve">
        <v xml:space="preserve">MEDIUM 400х300х300_x000d_
R-mixed</v>
      </c>
      <c r="F1" t="str">
        <v>MEDIUM 400х300х150</v>
      </c>
      <c r="G1" t="str">
        <v>MEDIUM 300*210*100               R-mixed</v>
      </c>
      <c r="H1" t="str">
        <v>Скотч R-mixed</v>
      </c>
      <c r="I1" t="str">
        <v>Скотч цветной</v>
      </c>
      <c r="J1" t="str">
        <v xml:space="preserve">Стрейч прозрачный </v>
      </c>
    </row>
    <row r="2">
      <c r="A2">
        <v>1</v>
      </c>
      <c r="B2">
        <v>1</v>
      </c>
      <c r="C2" t="str">
        <v>-</v>
      </c>
      <c r="D2" t="str">
        <v>-</v>
      </c>
      <c r="E2" t="str">
        <v>-</v>
      </c>
      <c r="F2" t="str">
        <v>-</v>
      </c>
      <c r="G2" t="str">
        <v>-</v>
      </c>
      <c r="H2" t="str">
        <v>-</v>
      </c>
      <c r="I2" t="str">
        <v>-</v>
      </c>
      <c r="J2" t="str">
        <v>-</v>
      </c>
    </row>
    <row r="3" xml:space="preserve">
      <c r="A3">
        <v>2</v>
      </c>
      <c r="B3">
        <v>1</v>
      </c>
      <c r="C3" xml:space="preserve">
        <f xml:space="preserve">IF(
  $C$1=[1]Склад!$F$13,
  IFERROR(
    SUMIFS(
      [1]Склад!$F$14:$F$279,
      [1]Склад!$B$14:$B$279, A3,
      [1]Склад!$E$14:$E$279, "Итог на конец недели"
    ),
    ""
  ),
  ""
)</f>
        <v>0</v>
      </c>
      <c r="D3" xml:space="preserve">
        <f xml:space="preserve">IF(
  $D$1=[1]Склад!$G$13,
  IFERROR(
    SUMIFS(
      [1]Склад!$G$14:$G$279,
      [1]Склад!$B$14:$B$279, A3,
      [1]Склад!$E$14:$E$279, "Итог на конец недели"
    ),
    ""
  ),
  ""
)</f>
        <v>29896</v>
      </c>
      <c r="E3" xml:space="preserve">
        <f xml:space="preserve">IF(
  $E$1=[1]Склад!$H$13,
  IFERROR(
    SUMIFS(
      [1]Склад!$H$14:$H$279,
      [1]Склад!$B$14:$B$279, A3,
      [1]Склад!$E$14:$E$279, "Итог на конец недели"
    ),
    ""
  ),
  ""
)</f>
        <v>29696</v>
      </c>
      <c r="F3" xml:space="preserve">
        <f xml:space="preserve">IF(
  $F$1=[1]Склад!$I$13,
  IFERROR(
    SUMIFS(
      [1]Склад!$I$14:$I$279,
      [1]Склад!$B$14:$B$279, A3,
      [1]Склад!$E$14:$E$279, "Итог на конец недели"
    ),
    ""
  ),
  ""
)</f>
        <v>44032</v>
      </c>
      <c r="G3" xml:space="preserve">
        <f xml:space="preserve">IF(
  $G$1=[1]Склад!$J$13,
  IFERROR(
    SUMIFS(
      [1]Склад!$J$14:$J$279,
      [1]Склад!$B$14:$B$279, A3,
      [1]Склад!$E$14:$E$279, "Итог на конец недели"
    ),
    ""
  ),
  ""
)</f>
        <v>0</v>
      </c>
      <c r="H3" xml:space="preserve">
        <f xml:space="preserve">IF(
  $H$1=[1]Склад!$K$13,
  IFERROR(
    SUMIFS(
      [1]Склад!$K$14:$K$279,
      [1]Склад!$B$14:$B$279, A3,
      [1]Склад!$E$14:$E$279, "Итог на конец недели"
    ),
    ""
  ),
  ""
)</f>
        <v>42000</v>
      </c>
      <c r="I3" xml:space="preserve">
        <f xml:space="preserve">IF(
  $I$1=[1]Склад!$L$13,
  IFERROR(
    SUMIFS(
      [1]Склад!$L$14:$L$279,
      [1]Склад!$B$14:$B$279, A3,
      [1]Склад!$E$14:$E$279, "Итог на конец недели"
    ),
    ""
  ),
  ""
)</f>
        <v>3636</v>
      </c>
      <c r="J3" xml:space="preserve">
        <f xml:space="preserve">IF(
  $J$1=[1]Склад!$O$13,
  IFERROR(
    SUMIFS(
      [1]Склад!$O$14:$O$279,
      [1]Склад!$B$14:$B$279, A3,
      [1]Склад!$E$14:$E$279, "Итог на конец недели"
    ),
    ""
  ),
  ""
)</f>
        <v>2268</v>
      </c>
    </row>
    <row r="4" xml:space="preserve">
      <c r="A4">
        <v>3</v>
      </c>
      <c r="B4">
        <v>1</v>
      </c>
      <c r="C4" xml:space="preserve">
        <f xml:space="preserve">IF(
  $C$1=[1]Склад!$F$13,
  IFERROR(
    SUMIFS(
      [1]Склад!$F$14:$F$279,
      [1]Склад!$B$14:$B$279, A4,
      [1]Склад!$E$14:$E$279, "Итог на конец недели"
    ),
    ""
  ),
  ""
)</f>
        <v>5250</v>
      </c>
      <c r="D4" xml:space="preserve">
        <f xml:space="preserve">IF(
  $D$1=[1]Склад!$G$13,
  IFERROR(
    SUMIFS(
      [1]Склад!$G$14:$G$279,
      [1]Склад!$B$14:$B$279, A4,
      [1]Склад!$E$14:$E$279, "Итог на конец недели"
    ),
    ""
  ),
  ""
)</f>
        <v>27658</v>
      </c>
      <c r="E4" xml:space="preserve">
        <f xml:space="preserve">IF(
  $E$1=[1]Склад!$H$13,
  IFERROR(
    SUMIFS(
      [1]Склад!$H$14:$H$279,
      [1]Склад!$B$14:$B$279, A4,
      [1]Склад!$E$14:$E$279, "Итог на конец недели"
    ),
    ""
  ),
  ""
)</f>
        <v>28160</v>
      </c>
      <c r="F4" xml:space="preserve">
        <f xml:space="preserve">IF(
  $F$1=[1]Склад!$I$13,
  IFERROR(
    SUMIFS(
      [1]Склад!$I$14:$I$279,
      [1]Склад!$B$14:$B$279, A4,
      [1]Склад!$E$14:$E$279, "Итог на конец недели"
    ),
    ""
  ),
  ""
)</f>
        <v>40448</v>
      </c>
      <c r="G4" xml:space="preserve">
        <f xml:space="preserve">IF(
  $G$1=[1]Склад!$J$13,
  IFERROR(
    SUMIFS(
      [1]Склад!$J$14:$J$279,
      [1]Склад!$B$14:$B$279, A4,
      [1]Склад!$E$14:$E$279, "Итог на конец недели"
    ),
    ""
  ),
  ""
)</f>
        <v>0</v>
      </c>
      <c r="H4" xml:space="preserve">
        <f xml:space="preserve">IF(
  $H$1=[1]Склад!$K$13,
  IFERROR(
    SUMIFS(
      [1]Склад!$K$14:$K$279,
      [1]Склад!$B$14:$B$279, A4,
      [1]Склад!$E$14:$E$279, "Итог на конец недели"
    ),
    ""
  ),
  ""
)</f>
        <v>40990</v>
      </c>
      <c r="I4" xml:space="preserve">
        <f xml:space="preserve">IF(
  $I$1=[1]Склад!$L$13,
  IFERROR(
    SUMIFS(
      [1]Склад!$L$14:$L$279,
      [1]Склад!$B$14:$B$279, A4,
      [1]Склад!$E$14:$E$279, "Итог на конец недели"
    ),
    ""
  ),
  ""
)</f>
        <v>3636</v>
      </c>
      <c r="J4" xml:space="preserve">
        <f xml:space="preserve">IF(
  $J$1=[1]Склад!$O$13,
  IFERROR(
    SUMIFS(
      [1]Склад!$O$14:$O$279,
      [1]Склад!$B$14:$B$279, A4,
      [1]Склад!$E$14:$E$279, "Итог на конец недели"
    ),
    ""
  ),
  ""
)</f>
        <v>2236</v>
      </c>
    </row>
    <row r="5" xml:space="preserve">
      <c r="A5">
        <v>4</v>
      </c>
      <c r="B5">
        <v>1</v>
      </c>
      <c r="C5" xml:space="preserve">
        <f xml:space="preserve">IF(
  $C$1=[1]Склад!$F$13,
  IFERROR(
    SUMIFS(
      [1]Склад!$F$14:$F$279,
      [1]Склад!$B$14:$B$279, A5,
      [1]Склад!$E$14:$E$279, "Итог на конец недели"
    ),
    ""
  ),
  ""
)</f>
        <v>5160</v>
      </c>
      <c r="D5" xml:space="preserve">
        <f xml:space="preserve">IF(
  $D$1=[1]Склад!$G$13,
  IFERROR(
    SUMIFS(
      [1]Склад!$G$14:$G$279,
      [1]Склад!$B$14:$B$279, A5,
      [1]Склад!$E$14:$E$279, "Итог на конец недели"
    ),
    ""
  ),
  ""
)</f>
        <v>24330</v>
      </c>
      <c r="E5" xml:space="preserve">
        <f xml:space="preserve">IF(
  $E$1=[1]Склад!$H$13,
  IFERROR(
    SUMIFS(
      [1]Склад!$H$14:$H$279,
      [1]Склад!$B$14:$B$279, A5,
      [1]Склад!$E$14:$E$279, "Итог на конец недели"
    ),
    ""
  ),
  ""
)</f>
        <v>27648</v>
      </c>
      <c r="F5" xml:space="preserve">
        <f xml:space="preserve">IF(
  $F$1=[1]Склад!$I$13,
  IFERROR(
    SUMIFS(
      [1]Склад!$I$14:$I$279,
      [1]Склад!$B$14:$B$279, A5,
      [1]Склад!$E$14:$E$279, "Итог на конец недели"
    ),
    ""
  ),
  ""
)</f>
        <v>39424</v>
      </c>
      <c r="G5" xml:space="preserve">
        <f xml:space="preserve">IF(
  $G$1=[1]Склад!$J$13,
  IFERROR(
    SUMIFS(
      [1]Склад!$J$14:$J$279,
      [1]Склад!$B$14:$B$279, A5,
      [1]Склад!$E$14:$E$279, "Итог на конец недели"
    ),
    ""
  ),
  ""
)</f>
        <v>0</v>
      </c>
      <c r="H5" xml:space="preserve">
        <f xml:space="preserve">IF(
  $H$1=[1]Склад!$K$13,
  IFERROR(
    SUMIFS(
      [1]Склад!$K$14:$K$279,
      [1]Склад!$B$14:$B$279, A5,
      [1]Склад!$E$14:$E$279, "Итог на конец недели"
    ),
    ""
  ),
  ""
)</f>
        <v>40246</v>
      </c>
      <c r="I5" xml:space="preserve">
        <f xml:space="preserve">IF(
  $I$1=[1]Склад!$L$13,
  IFERROR(
    SUMIFS(
      [1]Склад!$L$14:$L$279,
      [1]Склад!$B$14:$B$279, A5,
      [1]Склад!$E$14:$E$279, "Итог на конец недели"
    ),
    ""
  ),
  ""
)</f>
        <v>3636</v>
      </c>
      <c r="J5" xml:space="preserve">
        <f xml:space="preserve">IF(
  $J$1=[1]Склад!$O$13,
  IFERROR(
    SUMIFS(
      [1]Склад!$O$14:$O$279,
      [1]Склад!$B$14:$B$279, A5,
      [1]Склад!$E$14:$E$279, "Итог на конец недели"
    ),
    ""
  ),
  ""
)</f>
        <v>2224</v>
      </c>
    </row>
    <row r="6" xml:space="preserve">
      <c r="A6">
        <v>5</v>
      </c>
      <c r="B6">
        <v>1</v>
      </c>
      <c r="C6" xml:space="preserve">
        <f xml:space="preserve">IF(
  $C$1=[1]Склад!$F$13,
  IFERROR(
    SUMIFS(
      [1]Склад!$F$14:$F$279,
      [1]Склад!$B$14:$B$279, A6,
      [1]Склад!$E$14:$E$279, "Итог на конец недели"
    ),
    ""
  ),
  ""
)</f>
        <v>5160</v>
      </c>
      <c r="D6" xml:space="preserve">
        <f xml:space="preserve">IF(
  $D$1=[1]Склад!$G$13,
  IFERROR(
    SUMIFS(
      [1]Склад!$G$14:$G$279,
      [1]Склад!$B$14:$B$279, A6,
      [1]Склад!$E$14:$E$279, "Итог на конец недели"
    ),
    ""
  ),
  ""
)</f>
        <v>19466</v>
      </c>
      <c r="E6" xml:space="preserve">
        <f xml:space="preserve">IF(
  $E$1=[1]Склад!$H$13,
  IFERROR(
    SUMIFS(
      [1]Склад!$H$14:$H$279,
      [1]Склад!$B$14:$B$279, A6,
      [1]Склад!$E$14:$E$279, "Итог на конец недели"
    ),
    ""
  ),
  ""
)</f>
        <v>25088</v>
      </c>
      <c r="F6" xml:space="preserve">
        <f xml:space="preserve">IF(
  $F$1=[1]Склад!$I$13,
  IFERROR(
    SUMIFS(
      [1]Склад!$I$14:$I$279,
      [1]Склад!$B$14:$B$279, A6,
      [1]Склад!$E$14:$E$279, "Итог на конец недели"
    ),
    ""
  ),
  ""
)</f>
        <v>37888</v>
      </c>
      <c r="G6" xml:space="preserve">
        <f xml:space="preserve">IF(
  $G$1=[1]Склад!$J$13,
  IFERROR(
    SUMIFS(
      [1]Склад!$J$14:$J$279,
      [1]Склад!$B$14:$B$279, A6,
      [1]Склад!$E$14:$E$279, "Итог на конец недели"
    ),
    ""
  ),
  ""
)</f>
        <v>0</v>
      </c>
      <c r="H6" xml:space="preserve">
        <f xml:space="preserve">IF(
  $H$1=[1]Склад!$K$13,
  IFERROR(
    SUMIFS(
      [1]Склад!$K$14:$K$279,
      [1]Склад!$B$14:$B$279, A6,
      [1]Склад!$E$14:$E$279, "Итог на конец недели"
    ),
    ""
  ),
  ""
)</f>
        <v>39334</v>
      </c>
      <c r="I6" xml:space="preserve">
        <f xml:space="preserve">IF(
  $I$1=[1]Склад!$L$13,
  IFERROR(
    SUMIFS(
      [1]Склад!$L$14:$L$279,
      [1]Склад!$B$14:$B$279, A6,
      [1]Склад!$E$14:$E$279, "Итог на конец недели"
    ),
    ""
  ),
  ""
)</f>
        <v>3636</v>
      </c>
      <c r="J6" xml:space="preserve">
        <f xml:space="preserve">IF(
  $J$1=[1]Склад!$O$13,
  IFERROR(
    SUMIFS(
      [1]Склад!$O$14:$O$279,
      [1]Склад!$B$14:$B$279, A6,
      [1]Склад!$E$14:$E$279, "Итог на конец недели"
    ),
    ""
  ),
  ""
)</f>
        <v>2246</v>
      </c>
    </row>
    <row r="7" xml:space="preserve">
      <c r="A7">
        <v>6</v>
      </c>
      <c r="B7">
        <v>2</v>
      </c>
      <c r="C7" xml:space="preserve">
        <f xml:space="preserve">IF(
  $C$1=[1]Склад!$F$13,
  IFERROR(
    SUMIFS(
      [1]Склад!$F$14:$F$279,
      [1]Склад!$B$14:$B$279, A7,
      [1]Склад!$E$14:$E$279, "Итог на конец недели"
    ),
    ""
  ),
  ""
)</f>
        <v>5040</v>
      </c>
      <c r="D7" xml:space="preserve">
        <f xml:space="preserve">IF(
  $D$1=[1]Склад!$G$13,
  IFERROR(
    SUMIFS(
      [1]Склад!$G$14:$G$279,
      [1]Склад!$B$14:$B$279, A7,
      [1]Склад!$E$14:$E$279, "Итог на конец недели"
    ),
    ""
  ),
  ""
)</f>
        <v>31146</v>
      </c>
      <c r="E7" xml:space="preserve">
        <f xml:space="preserve">IF(
  $E$1=[1]Склад!$H$13,
  IFERROR(
    SUMIFS(
      [1]Склад!$H$14:$H$279,
      [1]Склад!$B$14:$B$279, A7,
      [1]Склад!$E$14:$E$279, "Итог на конец недели"
    ),
    ""
  ),
  ""
)</f>
        <v>24576</v>
      </c>
      <c r="F7" xml:space="preserve">
        <f xml:space="preserve">IF(
  $F$1=[1]Склад!$I$13,
  IFERROR(
    SUMIFS(
      [1]Склад!$I$14:$I$279,
      [1]Склад!$B$14:$B$279, A7,
      [1]Склад!$E$14:$E$279, "Итог на конец недели"
    ),
    ""
  ),
  ""
)</f>
        <v>36864</v>
      </c>
      <c r="G7" xml:space="preserve">
        <f xml:space="preserve">IF(
  $G$1=[1]Склад!$J$13,
  IFERROR(
    SUMIFS(
      [1]Склад!$J$14:$J$279,
      [1]Склад!$B$14:$B$279, A7,
      [1]Склад!$E$14:$E$279, "Итог на конец недели"
    ),
    ""
  ),
  ""
)</f>
        <v>0</v>
      </c>
      <c r="H7" xml:space="preserve">
        <f xml:space="preserve">IF(
  $H$1=[1]Склад!$K$13,
  IFERROR(
    SUMIFS(
      [1]Склад!$K$14:$K$279,
      [1]Склад!$B$14:$B$279, A7,
      [1]Склад!$E$14:$E$279, "Итог на конец недели"
    ),
    ""
  ),
  ""
)</f>
        <v>38734</v>
      </c>
      <c r="I7" xml:space="preserve">
        <f xml:space="preserve">IF(
  $I$1=[1]Склад!$L$13,
  IFERROR(
    SUMIFS(
      [1]Склад!$L$14:$L$279,
      [1]Склад!$B$14:$B$279, A7,
      [1]Склад!$E$14:$E$279, "Итог на конец недели"
    ),
    ""
  ),
  ""
)</f>
        <v>3636</v>
      </c>
      <c r="J7" xml:space="preserve">
        <f xml:space="preserve">IF(
  $J$1=[1]Склад!$O$13,
  IFERROR(
    SUMIFS(
      [1]Склад!$O$14:$O$279,
      [1]Склад!$B$14:$B$279, A7,
      [1]Склад!$E$14:$E$279, "Итог на конец недели"
    ),
    ""
  ),
  ""
)</f>
        <v>2198</v>
      </c>
    </row>
    <row r="8" xml:space="preserve">
      <c r="A8">
        <v>7</v>
      </c>
      <c r="B8">
        <v>2</v>
      </c>
      <c r="C8" xml:space="preserve">
        <f xml:space="preserve">IF(
  $C$1=[1]Склад!$F$13,
  IFERROR(
    SUMIFS(
      [1]Склад!$F$14:$F$279,
      [1]Склад!$B$14:$B$279, A8,
      [1]Склад!$E$14:$E$279, "Итог на конец недели"
    ),
    ""
  ),
  ""
)</f>
        <v>5040</v>
      </c>
      <c r="D8" xml:space="preserve">
        <f xml:space="preserve">IF(
  $D$1=[1]Склад!$G$13,
  IFERROR(
    SUMIFS(
      [1]Склад!$G$14:$G$279,
      [1]Склад!$B$14:$B$279, A8,
      [1]Склад!$E$14:$E$279, "Итог на конец недели"
    ),
    ""
  ),
  ""
)</f>
        <v>27658</v>
      </c>
      <c r="E8" xml:space="preserve">
        <f xml:space="preserve">IF(
  $E$1=[1]Склад!$H$13,
  IFERROR(
    SUMIFS(
      [1]Склад!$H$14:$H$279,
      [1]Склад!$B$14:$B$279, A8,
      [1]Склад!$E$14:$E$279, "Итог на конец недели"
    ),
    ""
  ),
  ""
)</f>
        <v>23040</v>
      </c>
      <c r="F8" xml:space="preserve">
        <f xml:space="preserve">IF(
  $F$1=[1]Склад!$I$13,
  IFERROR(
    SUMIFS(
      [1]Склад!$I$14:$I$279,
      [1]Склад!$B$14:$B$279, A8,
      [1]Склад!$E$14:$E$279, "Итог на конец недели"
    ),
    ""
  ),
  ""
)</f>
        <v>34864</v>
      </c>
      <c r="G8" xml:space="preserve">
        <f xml:space="preserve">IF(
  $G$1=[1]Склад!$J$13,
  IFERROR(
    SUMIFS(
      [1]Склад!$J$14:$J$279,
      [1]Склад!$B$14:$B$279, A8,
      [1]Склад!$E$14:$E$279, "Итог на конец недели"
    ),
    ""
  ),
  ""
)</f>
        <v>0</v>
      </c>
      <c r="H8" xml:space="preserve">
        <f xml:space="preserve">IF(
  $H$1=[1]Склад!$K$13,
  IFERROR(
    SUMIFS(
      [1]Склад!$K$14:$K$279,
      [1]Склад!$B$14:$B$279, A8,
      [1]Склад!$E$14:$E$279, "Итог на конец недели"
    ),
    ""
  ),
  ""
)</f>
        <v>37750</v>
      </c>
      <c r="I8" xml:space="preserve">
        <f xml:space="preserve">IF(
  $I$1=[1]Склад!$L$13,
  IFERROR(
    SUMIFS(
      [1]Склад!$L$14:$L$279,
      [1]Склад!$B$14:$B$279, A8,
      [1]Склад!$E$14:$E$279, "Итог на конец недели"
    ),
    ""
  ),
  ""
)</f>
        <v>3636</v>
      </c>
      <c r="J8" xml:space="preserve">
        <f xml:space="preserve">IF(
  $J$1=[1]Склад!$O$13,
  IFERROR(
    SUMIFS(
      [1]Склад!$O$14:$O$279,
      [1]Склад!$B$14:$B$279, A8,
      [1]Склад!$E$14:$E$279, "Итог на конец недели"
    ),
    ""
  ),
  ""
)</f>
        <v>2150</v>
      </c>
    </row>
    <row r="9" xml:space="preserve">
      <c r="A9">
        <v>8</v>
      </c>
      <c r="B9">
        <v>2</v>
      </c>
      <c r="C9" xml:space="preserve">
        <f xml:space="preserve">IF(
  $C$1=[1]Склад!$F$13,
  IFERROR(
    SUMIFS(
      [1]Склад!$F$14:$F$279,
      [1]Склад!$B$14:$B$279, A9,
      [1]Склад!$E$14:$E$279, "Итог на конец недели"
    ),
    ""
  ),
  ""
)</f>
        <v>5040</v>
      </c>
      <c r="D9" xml:space="preserve">
        <f xml:space="preserve">IF(
  $D$1=[1]Склад!$G$13,
  IFERROR(
    SUMIFS(
      [1]Склад!$G$14:$G$279,
      [1]Склад!$B$14:$B$279, A9,
      [1]Склад!$E$14:$E$279, "Итог на конец недели"
    ),
    ""
  ),
  ""
)</f>
        <v>23050</v>
      </c>
      <c r="E9" xml:space="preserve">
        <f xml:space="preserve">IF(
  $E$1=[1]Склад!$H$13,
  IFERROR(
    SUMIFS(
      [1]Склад!$H$14:$H$279,
      [1]Склад!$B$14:$B$279, A9,
      [1]Склад!$E$14:$E$279, "Итог на конец недели"
    ),
    ""
  ),
  ""
)</f>
        <v>21504</v>
      </c>
      <c r="F9" xml:space="preserve">
        <f xml:space="preserve">IF(
  $F$1=[1]Склад!$I$13,
  IFERROR(
    SUMIFS(
      [1]Склад!$I$14:$I$279,
      [1]Склад!$B$14:$B$279, A9,
      [1]Склад!$E$14:$E$279, "Итог на конец недели"
    ),
    ""
  ),
  ""
)</f>
        <v>33840</v>
      </c>
      <c r="G9" xml:space="preserve">
        <f xml:space="preserve">IF(
  $G$1=[1]Склад!$J$13,
  IFERROR(
    SUMIFS(
      [1]Склад!$J$14:$J$279,
      [1]Склад!$B$14:$B$279, A9,
      [1]Склад!$E$14:$E$279, "Итог на конец недели"
    ),
    ""
  ),
  ""
)</f>
        <v>0</v>
      </c>
      <c r="H9" xml:space="preserve">
        <f xml:space="preserve">IF(
  $H$1=[1]Склад!$K$13,
  IFERROR(
    SUMIFS(
      [1]Склад!$K$14:$K$279,
      [1]Склад!$B$14:$B$279, A9,
      [1]Склад!$E$14:$E$279, "Итог на конец недели"
    ),
    ""
  ),
  ""
)</f>
        <v>36502</v>
      </c>
      <c r="I9" xml:space="preserve">
        <f xml:space="preserve">IF(
  $I$1=[1]Склад!$L$13,
  IFERROR(
    SUMIFS(
      [1]Склад!$L$14:$L$279,
      [1]Склад!$B$14:$B$279, A9,
      [1]Склад!$E$14:$E$279, "Итог на конец недели"
    ),
    ""
  ),
  ""
)</f>
        <v>3636</v>
      </c>
      <c r="J9" xml:space="preserve">
        <f xml:space="preserve">IF(
  $J$1=[1]Склад!$O$13,
  IFERROR(
    SUMIFS(
      [1]Склад!$O$14:$O$279,
      [1]Склад!$B$14:$B$279, A9,
      [1]Склад!$E$14:$E$279, "Итог на конец недели"
    ),
    ""
  ),
  ""
)</f>
        <v>2110</v>
      </c>
    </row>
    <row r="10" xml:space="preserve">
      <c r="A10">
        <v>9</v>
      </c>
      <c r="B10">
        <v>2</v>
      </c>
      <c r="C10" xml:space="preserve">
        <f xml:space="preserve">IF(
  $C$1=[1]Склад!$F$13,
  IFERROR(
    SUMIFS(
      [1]Склад!$F$14:$F$279,
      [1]Склад!$B$14:$B$279, A10,
      [1]Склад!$E$14:$E$279, "Итог на конец недели"
    ),
    ""
  ),
  ""
)</f>
        <v>5040</v>
      </c>
      <c r="D10" xml:space="preserve">
        <f xml:space="preserve">IF(
  $D$1=[1]Склад!$G$13,
  IFERROR(
    SUMIFS(
      [1]Склад!$G$14:$G$279,
      [1]Склад!$B$14:$B$279, A10,
      [1]Склад!$E$14:$E$279, "Итог на конец недели"
    ),
    ""
  ),
  ""
)</f>
        <v>25866</v>
      </c>
      <c r="E10" xml:space="preserve">
        <f xml:space="preserve">IF(
  $E$1=[1]Склад!$H$13,
  IFERROR(
    SUMIFS(
      [1]Склад!$H$14:$H$279,
      [1]Склад!$B$14:$B$279, A10,
      [1]Склад!$E$14:$E$279, "Итог на конец недели"
    ),
    ""
  ),
  ""
)</f>
        <v>20480</v>
      </c>
      <c r="F10" xml:space="preserve">
        <f xml:space="preserve">IF(
  $F$1=[1]Склад!$I$13,
  IFERROR(
    SUMIFS(
      [1]Склад!$I$14:$I$279,
      [1]Склад!$B$14:$B$279, A10,
      [1]Склад!$E$14:$E$279, "Итог на конец недели"
    ),
    ""
  ),
  ""
)</f>
        <v>31232</v>
      </c>
      <c r="G10" xml:space="preserve">
        <f xml:space="preserve">IF(
  $G$1=[1]Склад!$J$13,
  IFERROR(
    SUMIFS(
      [1]Склад!$J$14:$J$279,
      [1]Склад!$B$14:$B$279, A10,
      [1]Склад!$E$14:$E$279, "Итог на конец недели"
    ),
    ""
  ),
  ""
)</f>
        <v>0</v>
      </c>
      <c r="H10" xml:space="preserve">
        <f xml:space="preserve">IF(
  $H$1=[1]Склад!$K$13,
  IFERROR(
    SUMIFS(
      [1]Склад!$K$14:$K$279,
      [1]Склад!$B$14:$B$279, A10,
      [1]Склад!$E$14:$E$279, "Итог на конец недели"
    ),
    ""
  ),
  ""
)</f>
        <v>36456</v>
      </c>
      <c r="I10" xml:space="preserve">
        <f xml:space="preserve">IF(
  $I$1=[1]Склад!$L$13,
  IFERROR(
    SUMIFS(
      [1]Склад!$L$14:$L$279,
      [1]Склад!$B$14:$B$279, A10,
      [1]Склад!$E$14:$E$279, "Итог на конец недели"
    ),
    ""
  ),
  ""
)</f>
        <v>3636</v>
      </c>
      <c r="J10" xml:space="preserve">
        <f xml:space="preserve">IF(
  $J$1=[1]Склад!$O$13,
  IFERROR(
    SUMIFS(
      [1]Склад!$O$14:$O$279,
      [1]Склад!$B$14:$B$279, A10,
      [1]Склад!$E$14:$E$279, "Итог на конец недели"
    ),
    ""
  ),
  ""
)</f>
        <v>2042</v>
      </c>
    </row>
    <row r="11" xml:space="preserve">
      <c r="A11">
        <v>10</v>
      </c>
      <c r="B11">
        <v>3</v>
      </c>
      <c r="C11" xml:space="preserve">
        <f xml:space="preserve">IF(
  $C$1=[1]Склад!$F$13,
  IFERROR(
    SUMIFS(
      [1]Склад!$F$14:$F$279,
      [1]Склад!$B$14:$B$279, A11,
      [1]Склад!$E$14:$E$279, "Итог на конец недели"
    ),
    ""
  ),
  ""
)</f>
        <v>5040</v>
      </c>
      <c r="D11" xml:space="preserve">
        <f xml:space="preserve">IF(
  $D$1=[1]Склад!$G$13,
  IFERROR(
    SUMIFS(
      [1]Склад!$G$14:$G$279,
      [1]Склад!$B$14:$B$279, A11,
      [1]Склад!$E$14:$E$279, "Итог на конец недели"
    ),
    ""
  ),
  ""
)</f>
        <v>20746</v>
      </c>
      <c r="E11" xml:space="preserve">
        <f xml:space="preserve">IF(
  $E$1=[1]Склад!$H$13,
  IFERROR(
    SUMIFS(
      [1]Склад!$H$14:$H$279,
      [1]Склад!$B$14:$B$279, A11,
      [1]Склад!$E$14:$E$279, "Итог на конец недели"
    ),
    ""
  ),
  ""
)</f>
        <v>18432</v>
      </c>
      <c r="F11" xml:space="preserve">
        <f xml:space="preserve">IF(
  $F$1=[1]Склад!$I$13,
  IFERROR(
    SUMIFS(
      [1]Склад!$I$14:$I$279,
      [1]Склад!$B$14:$B$279, A11,
      [1]Склад!$E$14:$E$279, "Итог на конец недели"
    ),
    ""
  ),
  ""
)</f>
        <v>17408</v>
      </c>
      <c r="G11" xml:space="preserve">
        <f xml:space="preserve">IF(
  $G$1=[1]Склад!$J$13,
  IFERROR(
    SUMIFS(
      [1]Склад!$J$14:$J$279,
      [1]Склад!$B$14:$B$279, A11,
      [1]Склад!$E$14:$E$279, "Итог на конец недели"
    ),
    ""
  ),
  ""
)</f>
        <v>0</v>
      </c>
      <c r="H11" xml:space="preserve">
        <f xml:space="preserve">IF(
  $H$1=[1]Склад!$K$13,
  IFERROR(
    SUMIFS(
      [1]Склад!$K$14:$K$279,
      [1]Склад!$B$14:$B$279, A11,
      [1]Склад!$E$14:$E$279, "Итог на конец недели"
    ),
    ""
  ),
  ""
)</f>
        <v>36336</v>
      </c>
      <c r="I11" xml:space="preserve">
        <f xml:space="preserve">IF(
  $I$1=[1]Склад!$L$13,
  IFERROR(
    SUMIFS(
      [1]Склад!$L$14:$L$279,
      [1]Склад!$B$14:$B$279, A11,
      [1]Склад!$E$14:$E$279, "Итог на конец недели"
    ),
    ""
  ),
  ""
)</f>
        <v>3636</v>
      </c>
      <c r="J11" xml:space="preserve">
        <f xml:space="preserve">IF(
  $J$1=[1]Склад!$O$13,
  IFERROR(
    SUMIFS(
      [1]Склад!$O$14:$O$279,
      [1]Склад!$B$14:$B$279, A11,
      [1]Склад!$E$14:$E$279, "Итог на конец недели"
    ),
    ""
  ),
  ""
)</f>
        <v>2002</v>
      </c>
    </row>
    <row r="12" xml:space="preserve">
      <c r="A12">
        <v>11</v>
      </c>
      <c r="B12">
        <v>3</v>
      </c>
      <c r="C12" xml:space="preserve">
        <f xml:space="preserve">IF(
  $C$1=[1]Склад!$F$13,
  IFERROR(
    SUMIFS(
      [1]Склад!$F$14:$F$279,
      [1]Склад!$B$14:$B$279, A12,
      [1]Склад!$E$14:$E$279, "Итог на конец недели"
    ),
    ""
  ),
  ""
)</f>
        <v>5040</v>
      </c>
      <c r="D12" xml:space="preserve">
        <f xml:space="preserve">IF(
  $D$1=[1]Склад!$G$13,
  IFERROR(
    SUMIFS(
      [1]Склад!$G$14:$G$279,
      [1]Склад!$B$14:$B$279, A12,
      [1]Склад!$E$14:$E$279, "Итог на конец недели"
    ),
    ""
  ),
  ""
)</f>
        <v>15626</v>
      </c>
      <c r="E12" xml:space="preserve">
        <f xml:space="preserve">IF(
  $E$1=[1]Склад!$H$13,
  IFERROR(
    SUMIFS(
      [1]Склад!$H$14:$H$279,
      [1]Склад!$B$14:$B$279, A12,
      [1]Склад!$E$14:$E$279, "Итог на конец недели"
    ),
    ""
  ),
  ""
)</f>
        <v>17408</v>
      </c>
      <c r="F12" xml:space="preserve">
        <f xml:space="preserve">IF(
  $F$1=[1]Склад!$I$13,
  IFERROR(
    SUMIFS(
      [1]Склад!$I$14:$I$279,
      [1]Склад!$B$14:$B$279, A12,
      [1]Склад!$E$14:$E$279, "Итог на конец недели"
    ),
    ""
  ),
  ""
)</f>
        <v>15872</v>
      </c>
      <c r="G12" xml:space="preserve">
        <f xml:space="preserve">IF(
  $G$1=[1]Склад!$J$13,
  IFERROR(
    SUMIFS(
      [1]Склад!$J$14:$J$279,
      [1]Склад!$B$14:$B$279, A12,
      [1]Склад!$E$14:$E$279, "Итог на конец недели"
    ),
    ""
  ),
  ""
)</f>
        <v>0</v>
      </c>
      <c r="H12" xml:space="preserve">
        <f xml:space="preserve">IF(
  $H$1=[1]Склад!$K$13,
  IFERROR(
    SUMIFS(
      [1]Склад!$K$14:$K$279,
      [1]Склад!$B$14:$B$279, A12,
      [1]Склад!$E$14:$E$279, "Итог на конец недели"
    ),
    ""
  ),
  ""
)</f>
        <v>34824</v>
      </c>
      <c r="I12" xml:space="preserve">
        <f xml:space="preserve">IF(
  $I$1=[1]Склад!$L$13,
  IFERROR(
    SUMIFS(
      [1]Склад!$L$14:$L$279,
      [1]Склад!$B$14:$B$279, A12,
      [1]Склад!$E$14:$E$279, "Итог на конец недели"
    ),
    ""
  ),
  ""
)</f>
        <v>3636</v>
      </c>
      <c r="J12" xml:space="preserve">
        <f xml:space="preserve">IF(
  $J$1=[1]Склад!$O$13,
  IFERROR(
    SUMIFS(
      [1]Склад!$O$14:$O$279,
      [1]Склад!$B$14:$B$279, A12,
      [1]Склад!$E$14:$E$279, "Итог на конец недели"
    ),
    ""
  ),
  ""
)</f>
        <v>1934</v>
      </c>
    </row>
    <row r="13" xml:space="preserve">
      <c r="A13">
        <v>12</v>
      </c>
      <c r="B13">
        <v>3</v>
      </c>
      <c r="C13" xml:space="preserve">
        <f xml:space="preserve">IF(
  $C$1=[1]Склад!$F$13,
  IFERROR(
    SUMIFS(
      [1]Склад!$F$14:$F$279,
      [1]Склад!$B$14:$B$279, A13,
      [1]Склад!$E$14:$E$279, "Итог на конец недели"
    ),
    ""
  ),
  ""
)</f>
        <v>5040</v>
      </c>
      <c r="D13" xml:space="preserve">
        <f xml:space="preserve">IF(
  $D$1=[1]Склад!$G$13,
  IFERROR(
    SUMIFS(
      [1]Склад!$G$14:$G$279,
      [1]Склад!$B$14:$B$279, A13,
      [1]Склад!$E$14:$E$279, "Итог на конец недели"
    ),
    ""
  ),
  ""
)</f>
        <v>36362</v>
      </c>
      <c r="E13" xml:space="preserve">
        <f xml:space="preserve">IF(
  $E$1=[1]Склад!$H$13,
  IFERROR(
    SUMIFS(
      [1]Склад!$H$14:$H$279,
      [1]Склад!$B$14:$B$279, A13,
      [1]Склад!$E$14:$E$279, "Итог на конец недели"
    ),
    ""
  ),
  ""
)</f>
        <v>27648</v>
      </c>
      <c r="F13" xml:space="preserve">
        <f xml:space="preserve">IF(
  $F$1=[1]Склад!$I$13,
  IFERROR(
    SUMIFS(
      [1]Склад!$I$14:$I$279,
      [1]Склад!$B$14:$B$279, A13,
      [1]Склад!$E$14:$E$279, "Итог на конец недели"
    ),
    ""
  ),
  ""
)</f>
        <v>13824</v>
      </c>
      <c r="G13" xml:space="preserve">
        <f xml:space="preserve">IF(
  $G$1=[1]Склад!$J$13,
  IFERROR(
    SUMIFS(
      [1]Склад!$J$14:$J$279,
      [1]Склад!$B$14:$B$279, A13,
      [1]Склад!$E$14:$E$279, "Итог на конец недели"
    ),
    ""
  ),
  ""
)</f>
        <v>0</v>
      </c>
      <c r="H13" xml:space="preserve">
        <f xml:space="preserve">IF(
  $H$1=[1]Склад!$K$13,
  IFERROR(
    SUMIFS(
      [1]Склад!$K$14:$K$279,
      [1]Склад!$B$14:$B$279, A13,
      [1]Склад!$E$14:$E$279, "Итог на конец недели"
    ),
    ""
  ),
  ""
)</f>
        <v>32424</v>
      </c>
      <c r="I13" xml:space="preserve">
        <f xml:space="preserve">IF(
  $I$1=[1]Склад!$L$13,
  IFERROR(
    SUMIFS(
      [1]Склад!$L$14:$L$279,
      [1]Склад!$B$14:$B$279, A13,
      [1]Склад!$E$14:$E$279, "Итог на конец недели"
    ),
    ""
  ),
  ""
)</f>
        <v>3420</v>
      </c>
      <c r="J13" xml:space="preserve">
        <f xml:space="preserve">IF(
  $J$1=[1]Склад!$O$13,
  IFERROR(
    SUMIFS(
      [1]Склад!$O$14:$O$279,
      [1]Склад!$B$14:$B$279, A13,
      [1]Склад!$E$14:$E$279, "Итог на конец недели"
    ),
    ""
  ),
  ""
)</f>
        <v>1922</v>
      </c>
    </row>
    <row r="14" xml:space="preserve">
      <c r="A14">
        <v>13</v>
      </c>
      <c r="B14">
        <v>3</v>
      </c>
      <c r="C14" xml:space="preserve">
        <f xml:space="preserve">IF(
  $C$1=[1]Склад!$F$13,
  IFERROR(
    SUMIFS(
      [1]Склад!$F$14:$F$279,
      [1]Склад!$B$14:$B$279, A14,
      [1]Склад!$E$14:$E$279, "Итог на конец недели"
    ),
    ""
  ),
  ""
)</f>
        <v>5040</v>
      </c>
      <c r="D14" xml:space="preserve">
        <f xml:space="preserve">IF(
  $D$1=[1]Склад!$G$13,
  IFERROR(
    SUMIFS(
      [1]Склад!$G$14:$G$279,
      [1]Склад!$B$14:$B$279, A14,
      [1]Склад!$E$14:$E$279, "Итог на конец недели"
    ),
    ""
  ),
  ""
)</f>
        <v>33162</v>
      </c>
      <c r="E14" xml:space="preserve">
        <f xml:space="preserve">IF(
  $E$1=[1]Склад!$H$13,
  IFERROR(
    SUMIFS(
      [1]Склад!$H$14:$H$279,
      [1]Склад!$B$14:$B$279, A14,
      [1]Склад!$E$14:$E$279, "Итог на конец недели"
    ),
    ""
  ),
  ""
)</f>
        <v>42228</v>
      </c>
      <c r="F14" xml:space="preserve">
        <f xml:space="preserve">IF(
  $F$1=[1]Склад!$I$13,
  IFERROR(
    SUMIFS(
      [1]Склад!$I$14:$I$279,
      [1]Склад!$B$14:$B$279, A14,
      [1]Склад!$E$14:$E$279, "Итог на конец недели"
    ),
    ""
  ),
  ""
)</f>
        <v>53224</v>
      </c>
      <c r="G14" xml:space="preserve">
        <f xml:space="preserve">IF(
  $G$1=[1]Склад!$J$13,
  IFERROR(
    SUMIFS(
      [1]Склад!$J$14:$J$279,
      [1]Склад!$B$14:$B$279, A14,
      [1]Склад!$E$14:$E$279, "Итог на конец недели"
    ),
    ""
  ),
  ""
)</f>
        <v>0</v>
      </c>
      <c r="H14" xml:space="preserve">
        <f xml:space="preserve">IF(
  $H$1=[1]Склад!$K$13,
  IFERROR(
    SUMIFS(
      [1]Склад!$K$14:$K$279,
      [1]Склад!$B$14:$B$279, A14,
      [1]Склад!$E$14:$E$279, "Итог на конец недели"
    ),
    ""
  ),
  ""
)</f>
        <v>30994</v>
      </c>
      <c r="I14" xml:space="preserve">
        <f xml:space="preserve">IF(
  $I$1=[1]Склад!$L$13,
  IFERROR(
    SUMIFS(
      [1]Склад!$L$14:$L$279,
      [1]Склад!$B$14:$B$279, A14,
      [1]Склад!$E$14:$E$279, "Итог на конец недели"
    ),
    ""
  ),
  ""
)</f>
        <v>3420</v>
      </c>
      <c r="J14" xml:space="preserve">
        <f xml:space="preserve">IF(
  $J$1=[1]Склад!$O$13,
  IFERROR(
    SUMIFS(
      [1]Склад!$O$14:$O$279,
      [1]Склад!$B$14:$B$279, A14,
      [1]Склад!$E$14:$E$279, "Итог на конец недели"
    ),
    ""
  ),
  ""
)</f>
        <v>1772</v>
      </c>
    </row>
    <row r="15" xml:space="preserve">
      <c r="A15">
        <v>14</v>
      </c>
      <c r="B15">
        <v>4</v>
      </c>
      <c r="C15" xml:space="preserve">
        <f xml:space="preserve">IF(
  $C$1=[1]Склад!$F$13,
  IFERROR(
    SUMIFS(
      [1]Склад!$F$14:$F$279,
      [1]Склад!$B$14:$B$279, A15,
      [1]Склад!$E$14:$E$279, "Итог на конец недели"
    ),
    ""
  ),
  ""
)</f>
        <v>5040</v>
      </c>
      <c r="D15" xml:space="preserve">
        <f xml:space="preserve">IF(
  $D$1=[1]Склад!$G$13,
  IFERROR(
    SUMIFS(
      [1]Склад!$G$14:$G$279,
      [1]Склад!$B$14:$B$279, A15,
      [1]Склад!$E$14:$E$279, "Итог на конец недели"
    ),
    ""
  ),
  ""
)</f>
        <v>29862</v>
      </c>
      <c r="E15" xml:space="preserve">
        <f xml:space="preserve">IF(
  $E$1=[1]Склад!$H$13,
  IFERROR(
    SUMIFS(
      [1]Склад!$H$14:$H$279,
      [1]Склад!$B$14:$B$279, A15,
      [1]Склад!$E$14:$E$279, "Итог на конец недели"
    ),
    ""
  ),
  ""
)</f>
        <v>39728</v>
      </c>
      <c r="F15" xml:space="preserve">
        <f xml:space="preserve">IF(
  $F$1=[1]Склад!$I$13,
  IFERROR(
    SUMIFS(
      [1]Склад!$I$14:$I$279,
      [1]Склад!$B$14:$B$279, A15,
      [1]Склад!$E$14:$E$279, "Итог на конец недели"
    ),
    ""
  ),
  ""
)</f>
        <v>47104</v>
      </c>
      <c r="G15" xml:space="preserve">
        <f xml:space="preserve">IF(
  $G$1=[1]Склад!$J$13,
  IFERROR(
    SUMIFS(
      [1]Склад!$J$14:$J$279,
      [1]Склад!$B$14:$B$279, A15,
      [1]Склад!$E$14:$E$279, "Итог на конец недели"
    ),
    ""
  ),
  ""
)</f>
        <v>0</v>
      </c>
      <c r="H15" xml:space="preserve">
        <f xml:space="preserve">IF(
  $H$1=[1]Склад!$K$13,
  IFERROR(
    SUMIFS(
      [1]Склад!$K$14:$K$279,
      [1]Склад!$B$14:$B$279, A15,
      [1]Склад!$E$14:$E$279, "Итог на конец недели"
    ),
    ""
  ),
  ""
)</f>
        <v>29764</v>
      </c>
      <c r="I15" xml:space="preserve">
        <f xml:space="preserve">IF(
  $I$1=[1]Склад!$L$13,
  IFERROR(
    SUMIFS(
      [1]Склад!$L$14:$L$279,
      [1]Склад!$B$14:$B$279, A15,
      [1]Склад!$E$14:$E$279, "Итог на конец недели"
    ),
    ""
  ),
  ""
)</f>
        <v>3420</v>
      </c>
      <c r="J15" xml:space="preserve">
        <f xml:space="preserve">IF(
  $J$1=[1]Склад!$O$13,
  IFERROR(
    SUMIFS(
      [1]Склад!$O$14:$O$279,
      [1]Склад!$B$14:$B$279, A15,
      [1]Склад!$E$14:$E$279, "Итог на конец недели"
    ),
    ""
  ),
  ""
)</f>
        <v>1326</v>
      </c>
    </row>
    <row r="16" xml:space="preserve">
      <c r="A16">
        <v>15</v>
      </c>
      <c r="B16">
        <v>4</v>
      </c>
      <c r="C16" xml:space="preserve">
        <f xml:space="preserve">IF(
  $C$1=[1]Склад!$F$13,
  IFERROR(
    SUMIFS(
      [1]Склад!$F$14:$F$279,
      [1]Склад!$B$14:$B$279, A16,
      [1]Склад!$E$14:$E$279, "Итог на конец недели"
    ),
    ""
  ),
  ""
)</f>
        <v>5040</v>
      </c>
      <c r="D16" xml:space="preserve">
        <f xml:space="preserve">IF(
  $D$1=[1]Склад!$G$13,
  IFERROR(
    SUMIFS(
      [1]Склад!$G$14:$G$279,
      [1]Склад!$B$14:$B$279, A16,
      [1]Склад!$E$14:$E$279, "Итог на конец недели"
    ),
    ""
  ),
  ""
)</f>
        <v>26790</v>
      </c>
      <c r="E16" xml:space="preserve">
        <f xml:space="preserve">IF(
  $E$1=[1]Склад!$H$13,
  IFERROR(
    SUMIFS(
      [1]Склад!$H$14:$H$279,
      [1]Склад!$B$14:$B$279, A16,
      [1]Склад!$E$14:$E$279, "Итог на конец недели"
    ),
    ""
  ),
  ""
)</f>
        <v>37168</v>
      </c>
      <c r="F16" xml:space="preserve">
        <f xml:space="preserve">IF(
  $F$1=[1]Склад!$I$13,
  IFERROR(
    SUMIFS(
      [1]Склад!$I$14:$I$279,
      [1]Склад!$B$14:$B$279, A16,
      [1]Склад!$E$14:$E$279, "Итог на конец недели"
    ),
    ""
  ),
  ""
)</f>
        <v>45056</v>
      </c>
      <c r="G16" xml:space="preserve">
        <f xml:space="preserve">IF(
  $G$1=[1]Склад!$J$13,
  IFERROR(
    SUMIFS(
      [1]Склад!$J$14:$J$279,
      [1]Склад!$B$14:$B$279, A16,
      [1]Склад!$E$14:$E$279, "Итог на конец недели"
    ),
    ""
  ),
  ""
)</f>
        <v>0</v>
      </c>
      <c r="H16" xml:space="preserve">
        <f xml:space="preserve">IF(
  $H$1=[1]Склад!$K$13,
  IFERROR(
    SUMIFS(
      [1]Склад!$K$14:$K$279,
      [1]Склад!$B$14:$B$279, A16,
      [1]Склад!$E$14:$E$279, "Итог на конец недели"
    ),
    ""
  ),
  ""
)</f>
        <v>28248</v>
      </c>
      <c r="I16" xml:space="preserve">
        <f xml:space="preserve">IF(
  $I$1=[1]Склад!$L$13,
  IFERROR(
    SUMIFS(
      [1]Склад!$L$14:$L$279,
      [1]Склад!$B$14:$B$279, A16,
      [1]Склад!$E$14:$E$279, "Итог на конец недели"
    ),
    ""
  ),
  ""
)</f>
        <v>3420</v>
      </c>
      <c r="J16" xml:space="preserve">
        <f xml:space="preserve">IF(
  $J$1=[1]Склад!$O$13,
  IFERROR(
    SUMIFS(
      [1]Склад!$O$14:$O$279,
      [1]Склад!$B$14:$B$279, A16,
      [1]Склад!$E$14:$E$279, "Итог на конец недели"
    ),
    ""
  ),
  ""
)</f>
        <v>1092</v>
      </c>
    </row>
    <row r="17" xml:space="preserve">
      <c r="A17">
        <v>16</v>
      </c>
      <c r="B17">
        <v>4</v>
      </c>
      <c r="C17" xml:space="preserve">
        <f xml:space="preserve">IF(
  $C$1=[1]Склад!$F$13,
  IFERROR(
    SUMIFS(
      [1]Склад!$F$14:$F$279,
      [1]Склад!$B$14:$B$279, A17,
      [1]Склад!$E$14:$E$279, "Итог на конец недели"
    ),
    ""
  ),
  ""
)</f>
        <v>5040</v>
      </c>
      <c r="D17" xml:space="preserve">
        <f xml:space="preserve">IF(
  $D$1=[1]Склад!$G$13,
  IFERROR(
    SUMIFS(
      [1]Склад!$G$14:$G$279,
      [1]Склад!$B$14:$B$279, A17,
      [1]Склад!$E$14:$E$279, "Итог на конец недели"
    ),
    ""
  ),
  ""
)</f>
        <v>23478</v>
      </c>
      <c r="E17" xml:space="preserve">
        <f xml:space="preserve">IF(
  $E$1=[1]Склад!$H$13,
  IFERROR(
    SUMIFS(
      [1]Склад!$H$14:$H$279,
      [1]Склад!$B$14:$B$279, A17,
      [1]Склад!$E$14:$E$279, "Итог на конец недели"
    ),
    ""
  ),
  ""
)</f>
        <v>36144</v>
      </c>
      <c r="F17" xml:space="preserve">
        <f xml:space="preserve">IF(
  $F$1=[1]Склад!$I$13,
  IFERROR(
    SUMIFS(
      [1]Склад!$I$14:$I$279,
      [1]Склад!$B$14:$B$279, A17,
      [1]Склад!$E$14:$E$279, "Итог на конец недели"
    ),
    ""
  ),
  ""
)</f>
        <v>38912</v>
      </c>
      <c r="G17" xml:space="preserve">
        <f xml:space="preserve">IF(
  $G$1=[1]Склад!$J$13,
  IFERROR(
    SUMIFS(
      [1]Склад!$J$14:$J$279,
      [1]Склад!$B$14:$B$279, A17,
      [1]Склад!$E$14:$E$279, "Итог на конец недели"
    ),
    ""
  ),
  ""
)</f>
        <v>0</v>
      </c>
      <c r="H17" xml:space="preserve">
        <f xml:space="preserve">IF(
  $H$1=[1]Склад!$K$13,
  IFERROR(
    SUMIFS(
      [1]Склад!$K$14:$K$279,
      [1]Склад!$B$14:$B$279, A17,
      [1]Склад!$E$14:$E$279, "Итог на конец недели"
    ),
    ""
  ),
  ""
)</f>
        <v>26400</v>
      </c>
      <c r="I17" xml:space="preserve">
        <f xml:space="preserve">IF(
  $I$1=[1]Склад!$L$13,
  IFERROR(
    SUMIFS(
      [1]Склад!$L$14:$L$279,
      [1]Склад!$B$14:$B$279, A17,
      [1]Склад!$E$14:$E$279, "Итог на конец недели"
    ),
    ""
  ),
  ""
)</f>
        <v>3420</v>
      </c>
      <c r="J17" xml:space="preserve">
        <f xml:space="preserve">IF(
  $J$1=[1]Склад!$O$13,
  IFERROR(
    SUMIFS(
      [1]Склад!$O$14:$O$279,
      [1]Склад!$B$14:$B$279, A17,
      [1]Склад!$E$14:$E$279, "Итог на конец недели"
    ),
    ""
  ),
  ""
)</f>
        <v>851</v>
      </c>
    </row>
    <row r="18" xml:space="preserve">
      <c r="A18">
        <v>17</v>
      </c>
      <c r="B18">
        <v>4</v>
      </c>
      <c r="C18" xml:space="preserve">
        <f xml:space="preserve">IF(
  $C$1=[1]Склад!$F$13,
  IFERROR(
    SUMIFS(
      [1]Склад!$F$14:$F$279,
      [1]Склад!$B$14:$B$279, A18,
      [1]Склад!$E$14:$E$279, "Итог на конец недели"
    ),
    ""
  ),
  ""
)</f>
        <v>5040</v>
      </c>
      <c r="D18" xml:space="preserve">
        <f xml:space="preserve">IF(
  $D$1=[1]Склад!$G$13,
  IFERROR(
    SUMIFS(
      [1]Склад!$G$14:$G$279,
      [1]Склад!$B$14:$B$279, A18,
      [1]Склад!$E$14:$E$279, "Итог на конец недели"
    ),
    ""
  ),
  ""
)</f>
        <v>20918</v>
      </c>
      <c r="E18" xml:space="preserve">
        <f xml:space="preserve">IF(
  $E$1=[1]Склад!$H$13,
  IFERROR(
    SUMIFS(
      [1]Склад!$H$14:$H$279,
      [1]Склад!$B$14:$B$279, A18,
      [1]Склад!$E$14:$E$279, "Итог на конец недели"
    ),
    ""
  ),
  ""
)</f>
        <v>34623</v>
      </c>
      <c r="F18" xml:space="preserve">
        <f xml:space="preserve">IF(
  $F$1=[1]Склад!$I$13,
  IFERROR(
    SUMIFS(
      [1]Склад!$I$14:$I$279,
      [1]Склад!$B$14:$B$279, A18,
      [1]Склад!$E$14:$E$279, "Итог на конец недели"
    ),
    ""
  ),
  ""
)</f>
        <v>30720</v>
      </c>
      <c r="G18" xml:space="preserve">
        <f xml:space="preserve">IF(
  $G$1=[1]Склад!$J$13,
  IFERROR(
    SUMIFS(
      [1]Склад!$J$14:$J$279,
      [1]Склад!$B$14:$B$279, A18,
      [1]Склад!$E$14:$E$279, "Итог на конец недели"
    ),
    ""
  ),
  ""
)</f>
        <v>0</v>
      </c>
      <c r="H18" xml:space="preserve">
        <f xml:space="preserve">IF(
  $H$1=[1]Склад!$K$13,
  IFERROR(
    SUMIFS(
      [1]Склад!$K$14:$K$279,
      [1]Склад!$B$14:$B$279, A18,
      [1]Склад!$E$14:$E$279, "Итог на конец недели"
    ),
    ""
  ),
  ""
)</f>
        <v>25702</v>
      </c>
      <c r="I18" xml:space="preserve">
        <f xml:space="preserve">IF(
  $I$1=[1]Склад!$L$13,
  IFERROR(
    SUMIFS(
      [1]Склад!$L$14:$L$279,
      [1]Склад!$B$14:$B$279, A18,
      [1]Склад!$E$14:$E$279, "Итог на конец недели"
    ),
    ""
  ),
  ""
)</f>
        <v>3204</v>
      </c>
      <c r="J18" xml:space="preserve">
        <f xml:space="preserve">IF(
  $J$1=[1]Склад!$O$13,
  IFERROR(
    SUMIFS(
      [1]Склад!$O$14:$O$279,
      [1]Склад!$B$14:$B$279, A18,
      [1]Склад!$E$14:$E$279, "Итог на конец недели"
    ),
    ""
  ),
  ""
)</f>
        <v>640</v>
      </c>
    </row>
    <row r="19" xml:space="preserve">
      <c r="A19">
        <v>18</v>
      </c>
      <c r="B19">
        <v>5</v>
      </c>
      <c r="C19" xml:space="preserve">
        <f xml:space="preserve">IF(
  $C$1=[1]Склад!$F$13,
  IFERROR(
    SUMIFS(
      [1]Склад!$F$14:$F$279,
      [1]Склад!$B$14:$B$279, A19,
      [1]Склад!$E$14:$E$279, "Итог на конец недели"
    ),
    ""
  ),
  ""
)</f>
        <v>5040</v>
      </c>
      <c r="D19" xml:space="preserve">
        <f xml:space="preserve">IF(
  $D$1=[1]Склад!$G$13,
  IFERROR(
    SUMIFS(
      [1]Склад!$G$14:$G$279,
      [1]Склад!$B$14:$B$279, A19,
      [1]Склад!$E$14:$E$279, "Итог на конец недели"
    ),
    ""
  ),
  ""
)</f>
        <v>23984</v>
      </c>
      <c r="E19" xml:space="preserve">
        <f xml:space="preserve">IF(
  $E$1=[1]Склад!$H$13,
  IFERROR(
    SUMIFS(
      [1]Склад!$H$14:$H$279,
      [1]Склад!$B$14:$B$279, A19,
      [1]Склад!$E$14:$E$279, "Итог на конец недели"
    ),
    ""
  ),
  ""
)</f>
        <v>44112</v>
      </c>
      <c r="F19" xml:space="preserve">
        <f xml:space="preserve">IF(
  $F$1=[1]Склад!$I$13,
  IFERROR(
    SUMIFS(
      [1]Склад!$I$14:$I$279,
      [1]Склад!$B$14:$B$279, A19,
      [1]Склад!$E$14:$E$279, "Итог на конец недели"
    ),
    ""
  ),
  ""
)</f>
        <v>39040</v>
      </c>
      <c r="G19" xml:space="preserve">
        <f xml:space="preserve">IF(
  $G$1=[1]Склад!$J$13,
  IFERROR(
    SUMIFS(
      [1]Склад!$J$14:$J$279,
      [1]Склад!$B$14:$B$279, A19,
      [1]Склад!$E$14:$E$279, "Итог на конец недели"
    ),
    ""
  ),
  ""
)</f>
        <v>0</v>
      </c>
      <c r="H19" xml:space="preserve">
        <f xml:space="preserve">IF(
  $H$1=[1]Склад!$K$13,
  IFERROR(
    SUMIFS(
      [1]Склад!$K$14:$K$279,
      [1]Склад!$B$14:$B$279, A19,
      [1]Склад!$E$14:$E$279, "Итог на конец недели"
    ),
    ""
  ),
  ""
)</f>
        <v>25281</v>
      </c>
      <c r="I19" xml:space="preserve">
        <f xml:space="preserve">IF(
  $I$1=[1]Склад!$L$13,
  IFERROR(
    SUMIFS(
      [1]Склад!$L$14:$L$279,
      [1]Склад!$B$14:$B$279, A19,
      [1]Склад!$E$14:$E$279, "Итог на конец недели"
    ),
    ""
  ),
  ""
)</f>
        <v>3204</v>
      </c>
      <c r="J19" xml:space="preserve">
        <f xml:space="preserve">IF(
  $J$1=[1]Склад!$O$13,
  IFERROR(
    SUMIFS(
      [1]Склад!$O$14:$O$279,
      [1]Склад!$B$14:$B$279, A19,
      [1]Склад!$E$14:$E$279, "Итог на конец недели"
    ),
    ""
  ),
  ""
)</f>
        <v>499</v>
      </c>
    </row>
    <row r="20" xml:space="preserve">
      <c r="A20">
        <v>19</v>
      </c>
      <c r="B20">
        <v>5</v>
      </c>
      <c r="C20" xml:space="preserve">
        <f xml:space="preserve">IF(
  $C$1=[1]Склад!$F$13,
  IFERROR(
    SUMIFS(
      [1]Склад!$F$14:$F$279,
      [1]Склад!$B$14:$B$279, A20,
      [1]Склад!$E$14:$E$279, "Итог на конец недели"
    ),
    ""
  ),
  ""
)</f>
        <v>5040</v>
      </c>
      <c r="D20" xml:space="preserve">
        <f xml:space="preserve">IF(
  $D$1=[1]Склад!$G$13,
  IFERROR(
    SUMIFS(
      [1]Склад!$G$14:$G$279,
      [1]Склад!$B$14:$B$279, A20,
      [1]Склад!$E$14:$E$279, "Итог на конец недели"
    ),
    ""
  ),
  ""
)</f>
        <v>21580</v>
      </c>
      <c r="E20" xml:space="preserve">
        <f xml:space="preserve">IF(
  $E$1=[1]Склад!$H$13,
  IFERROR(
    SUMIFS(
      [1]Склад!$H$14:$H$279,
      [1]Склад!$B$14:$B$279, A20,
      [1]Склад!$E$14:$E$279, "Итог на конец недели"
    ),
    ""
  ),
  ""
)</f>
        <v>40880</v>
      </c>
      <c r="F20" xml:space="preserve">
        <f xml:space="preserve">IF(
  $F$1=[1]Склад!$I$13,
  IFERROR(
    SUMIFS(
      [1]Склад!$I$14:$I$279,
      [1]Склад!$B$14:$B$279, A20,
      [1]Склад!$E$14:$E$279, "Итог на конец недели"
    ),
    ""
  ),
  ""
)</f>
        <v>37520</v>
      </c>
      <c r="G20" xml:space="preserve">
        <f xml:space="preserve">IF(
  $G$1=[1]Склад!$J$13,
  IFERROR(
    SUMIFS(
      [1]Склад!$J$14:$J$279,
      [1]Склад!$B$14:$B$279, A20,
      [1]Склад!$E$14:$E$279, "Итог на конец недели"
    ),
    ""
  ),
  ""
)</f>
        <v>0</v>
      </c>
      <c r="H20" xml:space="preserve">
        <f xml:space="preserve">IF(
  $H$1=[1]Склад!$K$13,
  IFERROR(
    SUMIFS(
      [1]Склад!$K$14:$K$279,
      [1]Склад!$B$14:$B$279, A20,
      [1]Склад!$E$14:$E$279, "Итог на конец недели"
    ),
    ""
  ),
  ""
)</f>
        <v>24769</v>
      </c>
      <c r="I20" xml:space="preserve">
        <f xml:space="preserve">IF(
  $I$1=[1]Склад!$L$13,
  IFERROR(
    SUMIFS(
      [1]Склад!$L$14:$L$279,
      [1]Склад!$B$14:$B$279, A20,
      [1]Склад!$E$14:$E$279, "Итог на конец недели"
    ),
    ""
  ),
  ""
)</f>
        <v>3204</v>
      </c>
      <c r="J20" xml:space="preserve">
        <f xml:space="preserve">IF(
  $J$1=[1]Склад!$O$13,
  IFERROR(
    SUMIFS(
      [1]Склад!$O$14:$O$279,
      [1]Склад!$B$14:$B$279, A20,
      [1]Склад!$E$14:$E$279, "Итог на конец недели"
    ),
    ""
  ),
  ""
)</f>
        <v>418</v>
      </c>
    </row>
    <row r="21" xml:space="preserve">
      <c r="A21">
        <v>20</v>
      </c>
      <c r="B21">
        <v>5</v>
      </c>
      <c r="C21" xml:space="preserve">
        <f xml:space="preserve">IF(
  $C$1=[1]Склад!$F$13,
  IFERROR(
    SUMIFS(
      [1]Склад!$F$14:$F$279,
      [1]Склад!$B$14:$B$279, A21,
      [1]Склад!$E$14:$E$279, "Итог на конец недели"
    ),
    ""
  ),
  ""
)</f>
        <v>5040</v>
      </c>
      <c r="D21" xml:space="preserve">
        <f xml:space="preserve">IF(
  $D$1=[1]Склад!$G$13,
  IFERROR(
    SUMIFS(
      [1]Склад!$G$14:$G$279,
      [1]Склад!$B$14:$B$279, A21,
      [1]Склад!$E$14:$E$279, "Итог на конец недели"
    ),
    ""
  ),
  ""
)</f>
        <v>28664</v>
      </c>
      <c r="E21" xml:space="preserve">
        <f xml:space="preserve">IF(
  $E$1=[1]Склад!$H$13,
  IFERROR(
    SUMIFS(
      [1]Склад!$H$14:$H$279,
      [1]Склад!$B$14:$B$279, A21,
      [1]Склад!$E$14:$E$279, "Итог на конец недели"
    ),
    ""
  ),
  ""
)</f>
        <v>36240</v>
      </c>
      <c r="F21" xml:space="preserve">
        <f xml:space="preserve">IF(
  $F$1=[1]Склад!$I$13,
  IFERROR(
    SUMIFS(
      [1]Склад!$I$14:$I$279,
      [1]Склад!$B$14:$B$279, A21,
      [1]Склад!$E$14:$E$279, "Итог на конец недели"
    ),
    ""
  ),
  ""
)</f>
        <v>36656</v>
      </c>
      <c r="G21" xml:space="preserve">
        <f xml:space="preserve">IF(
  $G$1=[1]Склад!$J$13,
  IFERROR(
    SUMIFS(
      [1]Склад!$J$14:$J$279,
      [1]Склад!$B$14:$B$279, A21,
      [1]Склад!$E$14:$E$279, "Итог на конец недели"
    ),
    ""
  ),
  ""
)</f>
        <v>0</v>
      </c>
      <c r="H21" xml:space="preserve">
        <f xml:space="preserve">IF(
  $H$1=[1]Склад!$K$13,
  IFERROR(
    SUMIFS(
      [1]Склад!$K$14:$K$279,
      [1]Склад!$B$14:$B$279, A21,
      [1]Склад!$E$14:$E$279, "Итог на конец недели"
    ),
    ""
  ),
  ""
)</f>
        <v>24294</v>
      </c>
      <c r="I21" xml:space="preserve">
        <f xml:space="preserve">IF(
  $I$1=[1]Склад!$L$13,
  IFERROR(
    SUMIFS(
      [1]Склад!$L$14:$L$279,
      [1]Склад!$B$14:$B$279, A21,
      [1]Склад!$E$14:$E$279, "Итог на конец недели"
    ),
    ""
  ),
  ""
)</f>
        <v>3204</v>
      </c>
      <c r="J21" xml:space="preserve">
        <f xml:space="preserve">IF(
  $J$1=[1]Склад!$O$13,
  IFERROR(
    SUMIFS(
      [1]Склад!$O$14:$O$279,
      [1]Склад!$B$14:$B$279, A21,
      [1]Склад!$E$14:$E$279, "Итог на конец недели"
    ),
    ""
  ),
  ""
)</f>
        <v>331</v>
      </c>
    </row>
    <row r="22" xml:space="preserve">
      <c r="A22">
        <v>21</v>
      </c>
      <c r="B22">
        <v>5</v>
      </c>
      <c r="C22" xml:space="preserve">
        <f xml:space="preserve">IF(
  $C$1=[1]Склад!$F$13,
  IFERROR(
    SUMIFS(
      [1]Склад!$F$14:$F$279,
      [1]Склад!$B$14:$B$279, A22,
      [1]Склад!$E$14:$E$279, "Итог на конец недели"
    ),
    ""
  ),
  ""
)</f>
        <v>5040</v>
      </c>
      <c r="D22" xml:space="preserve">
        <f xml:space="preserve">IF(
  $D$1=[1]Склад!$G$13,
  IFERROR(
    SUMIFS(
      [1]Склад!$G$14:$G$279,
      [1]Склад!$B$14:$B$279, A22,
      [1]Склад!$E$14:$E$279, "Итог на конец недели"
    ),
    ""
  ),
  ""
)</f>
        <v>44800</v>
      </c>
      <c r="E22" xml:space="preserve">
        <f xml:space="preserve">IF(
  $E$1=[1]Склад!$H$13,
  IFERROR(
    SUMIFS(
      [1]Склад!$H$14:$H$279,
      [1]Склад!$B$14:$B$279, A22,
      [1]Склад!$E$14:$E$279, "Итог на конец недели"
    ),
    ""
  ),
  ""
)</f>
        <v>52640</v>
      </c>
      <c r="F22" xml:space="preserve">
        <f xml:space="preserve">IF(
  $F$1=[1]Склад!$I$13,
  IFERROR(
    SUMIFS(
      [1]Склад!$I$14:$I$279,
      [1]Склад!$B$14:$B$279, A22,
      [1]Склад!$E$14:$E$279, "Итог на конец недели"
    ),
    ""
  ),
  ""
)</f>
        <v>53760</v>
      </c>
      <c r="G22" xml:space="preserve">
        <f xml:space="preserve">IF(
  $G$1=[1]Склад!$J$13,
  IFERROR(
    SUMIFS(
      [1]Склад!$J$14:$J$279,
      [1]Склад!$B$14:$B$279, A22,
      [1]Склад!$E$14:$E$279, "Итог на конец недели"
    ),
    ""
  ),
  ""
)</f>
        <v>0</v>
      </c>
      <c r="H22" xml:space="preserve">
        <f xml:space="preserve">IF(
  $H$1=[1]Склад!$K$13,
  IFERROR(
    SUMIFS(
      [1]Склад!$K$14:$K$279,
      [1]Склад!$B$14:$B$279, A22,
      [1]Склад!$E$14:$E$279, "Итог на конец недели"
    ),
    ""
  ),
  ""
)</f>
        <v>24000</v>
      </c>
      <c r="I22" xml:space="preserve">
        <f xml:space="preserve">IF(
  $I$1=[1]Склад!$L$13,
  IFERROR(
    SUMIFS(
      [1]Склад!$L$14:$L$279,
      [1]Склад!$B$14:$B$279, A22,
      [1]Склад!$E$14:$E$279, "Итог на конец недели"
    ),
    ""
  ),
  ""
)</f>
        <v>3204</v>
      </c>
      <c r="J22" xml:space="preserve">
        <f xml:space="preserve">IF(
  $J$1=[1]Склад!$O$13,
  IFERROR(
    SUMIFS(
      [1]Склад!$O$14:$O$279,
      [1]Склад!$B$14:$B$279, A22,
      [1]Склад!$E$14:$E$279, "Итог на конец недели"
    ),
    ""
  ),
  ""
)</f>
        <v>1009</v>
      </c>
    </row>
    <row r="23" xml:space="preserve">
      <c r="A23">
        <v>22</v>
      </c>
      <c r="B23">
        <v>5</v>
      </c>
      <c r="C23" xml:space="preserve">
        <f xml:space="preserve">IF(
  $C$1=[1]Склад!$F$13,
  IFERROR(
    SUMIFS(
      [1]Склад!$F$14:$F$279,
      [1]Склад!$B$14:$B$279, A23,
      [1]Склад!$E$14:$E$279, "Итог на конец недели"
    ),
    ""
  ),
  ""
)</f>
        <v>5040</v>
      </c>
      <c r="D23" xml:space="preserve">
        <f xml:space="preserve">IF(
  $D$1=[1]Склад!$G$13,
  IFERROR(
    SUMIFS(
      [1]Склад!$G$14:$G$279,
      [1]Склад!$B$14:$B$279, A23,
      [1]Склад!$E$14:$E$279, "Итог на конец недели"
    ),
    ""
  ),
  ""
)</f>
        <v>50739</v>
      </c>
      <c r="E23" xml:space="preserve">
        <f xml:space="preserve">IF(
  $E$1=[1]Склад!$H$13,
  IFERROR(
    SUMIFS(
      [1]Склад!$H$14:$H$279,
      [1]Склад!$B$14:$B$279, A23,
      [1]Склад!$E$14:$E$279, "Итог на конец недели"
    ),
    ""
  ),
  ""
)</f>
        <v>50788</v>
      </c>
      <c r="F23" xml:space="preserve">
        <f xml:space="preserve">IF(
  $F$1=[1]Склад!$I$13,
  IFERROR(
    SUMIFS(
      [1]Склад!$I$14:$I$279,
      [1]Склад!$B$14:$B$279, A23,
      [1]Склад!$E$14:$E$279, "Итог на конец недели"
    ),
    ""
  ),
  ""
)</f>
        <v>55998</v>
      </c>
      <c r="G23" xml:space="preserve">
        <f xml:space="preserve">IF(
  $G$1=[1]Склад!$J$13,
  IFERROR(
    SUMIFS(
      [1]Склад!$J$14:$J$279,
      [1]Склад!$B$14:$B$279, A23,
      [1]Склад!$E$14:$E$279, "Итог на конец недели"
    ),
    ""
  ),
  ""
)</f>
        <v>0</v>
      </c>
      <c r="H23" xml:space="preserve">
        <f xml:space="preserve">IF(
  $H$1=[1]Склад!$K$13,
  IFERROR(
    SUMIFS(
      [1]Склад!$K$14:$K$279,
      [1]Склад!$B$14:$B$279, A23,
      [1]Склад!$E$14:$E$279, "Итог на конец недели"
    ),
    ""
  ),
  ""
)</f>
        <v>23789</v>
      </c>
      <c r="I23" xml:space="preserve">
        <f xml:space="preserve">IF(
  $I$1=[1]Склад!$L$13,
  IFERROR(
    SUMIFS(
      [1]Склад!$L$14:$L$279,
      [1]Склад!$B$14:$B$279, A23,
      [1]Склад!$E$14:$E$279, "Итог на конец недели"
    ),
    ""
  ),
  ""
)</f>
        <v>3204</v>
      </c>
      <c r="J23" xml:space="preserve">
        <f xml:space="preserve">IF(
  $J$1=[1]Склад!$O$13,
  IFERROR(
    SUMIFS(
      [1]Склад!$O$14:$O$279,
      [1]Склад!$B$14:$B$279, A23,
      [1]Склад!$E$14:$E$279, "Итог на конец недели"
    ),
    ""
  ),
  ""
)</f>
        <v>877</v>
      </c>
    </row>
    <row r="24" xml:space="preserve">
      <c r="A24">
        <v>23</v>
      </c>
      <c r="B24">
        <v>6</v>
      </c>
      <c r="C24" xml:space="preserve">
        <f xml:space="preserve">IF(
  $C$1=[1]Склад!$F$13,
  IFERROR(
    SUMIFS(
      [1]Склад!$F$14:$F$279,
      [1]Склад!$B$14:$B$279, A24,
      [1]Склад!$E$14:$E$279, "Итог на конец недели"
    ),
    ""
  ),
  ""
)</f>
        <v>4680</v>
      </c>
      <c r="D24" xml:space="preserve">
        <f xml:space="preserve">IF(
  $D$1=[1]Склад!$G$13,
  IFERROR(
    SUMIFS(
      [1]Склад!$G$14:$G$279,
      [1]Склад!$B$14:$B$279, A24,
      [1]Склад!$E$14:$E$279, "Итог на конец недели"
    ),
    ""
  ),
  ""
)</f>
        <v>57976</v>
      </c>
      <c r="E24" xml:space="preserve">
        <f xml:space="preserve">IF(
  $E$1=[1]Склад!$H$13,
  IFERROR(
    SUMIFS(
      [1]Склад!$H$14:$H$279,
      [1]Склад!$B$14:$B$279, A24,
      [1]Склад!$E$14:$E$279, "Итог на конец недели"
    ),
    ""
  ),
  ""
)</f>
        <v>49136</v>
      </c>
      <c r="F24" xml:space="preserve">
        <f xml:space="preserve">IF(
  $F$1=[1]Склад!$I$13,
  IFERROR(
    SUMIFS(
      [1]Склад!$I$14:$I$279,
      [1]Склад!$B$14:$B$279, A24,
      [1]Склад!$E$14:$E$279, "Итог на конец недели"
    ),
    ""
  ),
  ""
)</f>
        <v>54318</v>
      </c>
      <c r="G24" xml:space="preserve">
        <f xml:space="preserve">IF(
  $G$1=[1]Склад!$J$13,
  IFERROR(
    SUMIFS(
      [1]Склад!$J$14:$J$279,
      [1]Склад!$B$14:$B$279, A24,
      [1]Склад!$E$14:$E$279, "Итог на конец недели"
    ),
    ""
  ),
  ""
)</f>
        <v>20000</v>
      </c>
      <c r="H24" xml:space="preserve">
        <f xml:space="preserve">IF(
  $H$1=[1]Склад!$K$13,
  IFERROR(
    SUMIFS(
      [1]Склад!$K$14:$K$279,
      [1]Склад!$B$14:$B$279, A24,
      [1]Склад!$E$14:$E$279, "Итог на конец недели"
    ),
    ""
  ),
  ""
)</f>
        <v>23586</v>
      </c>
      <c r="I24" xml:space="preserve">
        <f xml:space="preserve">IF(
  $I$1=[1]Склад!$L$13,
  IFERROR(
    SUMIFS(
      [1]Склад!$L$14:$L$279,
      [1]Склад!$B$14:$B$279, A24,
      [1]Склад!$E$14:$E$279, "Итог на конец недели"
    ),
    ""
  ),
  ""
)</f>
        <v>3204</v>
      </c>
      <c r="J24" xml:space="preserve">
        <f xml:space="preserve">IF(
  $J$1=[1]Склад!$O$13,
  IFERROR(
    SUMIFS(
      [1]Склад!$O$14:$O$279,
      [1]Склад!$B$14:$B$279, A24,
      [1]Склад!$E$14:$E$279, "Итог на конец недели"
    ),
    ""
  ),
  ""
)</f>
        <v>751</v>
      </c>
    </row>
    <row r="25" xml:space="preserve">
      <c r="A25">
        <v>24</v>
      </c>
      <c r="B25">
        <v>6</v>
      </c>
      <c r="C25" xml:space="preserve">
        <f xml:space="preserve">IF(
  $C$1=[1]Склад!$F$13,
  IFERROR(
    SUMIFS(
      [1]Склад!$F$14:$F$279,
      [1]Склад!$B$14:$B$279, A25,
      [1]Склад!$E$14:$E$279, "Итог на конец недели"
    ),
    ""
  ),
  ""
)</f>
        <v>3960</v>
      </c>
      <c r="D25" xml:space="preserve">
        <f xml:space="preserve">IF(
  $D$1=[1]Склад!$G$13,
  IFERROR(
    SUMIFS(
      [1]Склад!$G$14:$G$279,
      [1]Склад!$B$14:$B$279, A25,
      [1]Склад!$E$14:$E$279, "Итог на конец недели"
    ),
    ""
  ),
  ""
)</f>
        <v>55264</v>
      </c>
      <c r="E25" xml:space="preserve">
        <f xml:space="preserve">IF(
  $E$1=[1]Склад!$H$13,
  IFERROR(
    SUMIFS(
      [1]Склад!$H$14:$H$279,
      [1]Склад!$B$14:$B$279, A25,
      [1]Склад!$E$14:$E$279, "Итог на конец недели"
    ),
    ""
  ),
  ""
)</f>
        <v>47040</v>
      </c>
      <c r="F25" xml:space="preserve">
        <f xml:space="preserve">IF(
  $F$1=[1]Склад!$I$13,
  IFERROR(
    SUMIFS(
      [1]Склад!$I$14:$I$279,
      [1]Склад!$B$14:$B$279, A25,
      [1]Склад!$E$14:$E$279, "Итог на конец недели"
    ),
    ""
  ),
  ""
)</f>
        <v>52572</v>
      </c>
      <c r="G25" xml:space="preserve">
        <f xml:space="preserve">IF(
  $G$1=[1]Склад!$J$13,
  IFERROR(
    SUMIFS(
      [1]Склад!$J$14:$J$279,
      [1]Склад!$B$14:$B$279, A25,
      [1]Склад!$E$14:$E$279, "Итог на конец недели"
    ),
    ""
  ),
  ""
)</f>
        <v>20000</v>
      </c>
      <c r="H25" xml:space="preserve">
        <f xml:space="preserve">IF(
  $H$1=[1]Склад!$K$13,
  IFERROR(
    SUMIFS(
      [1]Склад!$K$14:$K$279,
      [1]Склад!$B$14:$B$279, A25,
      [1]Склад!$E$14:$E$279, "Итог на конец недели"
    ),
    ""
  ),
  ""
)</f>
        <v>23277</v>
      </c>
      <c r="I25" xml:space="preserve">
        <f xml:space="preserve">IF(
  $I$1=[1]Склад!$L$13,
  IFERROR(
    SUMIFS(
      [1]Склад!$L$14:$L$279,
      [1]Склад!$B$14:$B$279, A25,
      [1]Склад!$E$14:$E$279, "Итог на конец недели"
    ),
    ""
  ),
  ""
)</f>
        <v>3204</v>
      </c>
      <c r="J25" xml:space="preserve">
        <f xml:space="preserve">IF(
  $J$1=[1]Склад!$O$13,
  IFERROR(
    SUMIFS(
      [1]Склад!$O$14:$O$279,
      [1]Склад!$B$14:$B$279, A25,
      [1]Склад!$E$14:$E$279, "Итог на конец недели"
    ),
    ""
  ),
  ""
)</f>
        <v>653</v>
      </c>
    </row>
    <row r="26" xml:space="preserve">
      <c r="A26">
        <v>25</v>
      </c>
      <c r="B26">
        <v>6</v>
      </c>
      <c r="C26" xml:space="preserve">
        <f xml:space="preserve">IF(
  $C$1=[1]Склад!$F$13,
  IFERROR(
    SUMIFS(
      [1]Склад!$F$14:$F$279,
      [1]Склад!$B$14:$B$279, A26,
      [1]Склад!$E$14:$E$279, "Итог на конец недели"
    ),
    ""
  ),
  ""
)</f>
        <v>3840</v>
      </c>
      <c r="D26" xml:space="preserve">
        <f xml:space="preserve">IF(
  $D$1=[1]Склад!$G$13,
  IFERROR(
    SUMIFS(
      [1]Склад!$G$14:$G$279,
      [1]Склад!$B$14:$B$279, A26,
      [1]Склад!$E$14:$E$279, "Итог на конец недели"
    ),
    ""
  ),
  ""
)</f>
        <v>61726</v>
      </c>
      <c r="E26" xml:space="preserve">
        <f xml:space="preserve">IF(
  $E$1=[1]Склад!$H$13,
  IFERROR(
    SUMIFS(
      [1]Склад!$H$14:$H$279,
      [1]Склад!$B$14:$B$279, A26,
      [1]Склад!$E$14:$E$279, "Итог на конец недели"
    ),
    ""
  ),
  ""
)</f>
        <v>44927</v>
      </c>
      <c r="F26" xml:space="preserve">
        <f xml:space="preserve">IF(
  $F$1=[1]Склад!$I$13,
  IFERROR(
    SUMIFS(
      [1]Склад!$I$14:$I$279,
      [1]Склад!$B$14:$B$279, A26,
      [1]Склад!$E$14:$E$279, "Итог на конец недели"
    ),
    ""
  ),
  ""
)</f>
        <v>50760</v>
      </c>
      <c r="G26" xml:space="preserve">
        <f xml:space="preserve">IF(
  $G$1=[1]Склад!$J$13,
  IFERROR(
    SUMIFS(
      [1]Склад!$J$14:$J$279,
      [1]Склад!$B$14:$B$279, A26,
      [1]Склад!$E$14:$E$279, "Итог на конец недели"
    ),
    ""
  ),
  ""
)</f>
        <v>20000</v>
      </c>
      <c r="H26" xml:space="preserve">
        <f xml:space="preserve">IF(
  $H$1=[1]Склад!$K$13,
  IFERROR(
    SUMIFS(
      [1]Склад!$K$14:$K$279,
      [1]Склад!$B$14:$B$279, A26,
      [1]Склад!$E$14:$E$279, "Итог на конец недели"
    ),
    ""
  ),
  ""
)</f>
        <v>22961</v>
      </c>
      <c r="I26" xml:space="preserve">
        <f xml:space="preserve">IF(
  $I$1=[1]Склад!$L$13,
  IFERROR(
    SUMIFS(
      [1]Склад!$L$14:$L$279,
      [1]Склад!$B$14:$B$279, A26,
      [1]Склад!$E$14:$E$279, "Итог на конец недели"
    ),
    ""
  ),
  ""
)</f>
        <v>3204</v>
      </c>
      <c r="J26" xml:space="preserve">
        <f xml:space="preserve">IF(
  $J$1=[1]Склад!$O$13,
  IFERROR(
    SUMIFS(
      [1]Склад!$O$14:$O$279,
      [1]Склад!$B$14:$B$279, A26,
      [1]Склад!$E$14:$E$279, "Итог на конец недели"
    ),
    ""
  ),
  ""
)</f>
        <v>567</v>
      </c>
    </row>
    <row r="27" xml:space="preserve">
      <c r="A27">
        <v>26</v>
      </c>
      <c r="B27">
        <v>6</v>
      </c>
      <c r="C27" xml:space="preserve">
        <f xml:space="preserve">IF(
  $C$1=[1]Склад!$F$13,
  IFERROR(
    SUMIFS(
      [1]Склад!$F$14:$F$279,
      [1]Склад!$B$14:$B$279, A27,
      [1]Склад!$E$14:$E$279, "Итог на конец недели"
    ),
    ""
  ),
  ""
)</f>
        <v>3240</v>
      </c>
      <c r="D27" xml:space="preserve">
        <f xml:space="preserve">IF(
  $D$1=[1]Склад!$G$13,
  IFERROR(
    SUMIFS(
      [1]Склад!$G$14:$G$279,
      [1]Склад!$B$14:$B$279, A27,
      [1]Склад!$E$14:$E$279, "Итог на конец недели"
    ),
    ""
  ),
  ""
)</f>
        <v>59357</v>
      </c>
      <c r="E27" xml:space="preserve">
        <f xml:space="preserve">IF(
  $E$1=[1]Склад!$H$13,
  IFERROR(
    SUMIFS(
      [1]Склад!$H$14:$H$279,
      [1]Склад!$B$14:$B$279, A27,
      [1]Склад!$E$14:$E$279, "Итог на конец недели"
    ),
    ""
  ),
  ""
)</f>
        <v>47315</v>
      </c>
      <c r="F27" xml:space="preserve">
        <f xml:space="preserve">IF(
  $F$1=[1]Склад!$I$13,
  IFERROR(
    SUMIFS(
      [1]Склад!$I$14:$I$279,
      [1]Склад!$B$14:$B$279, A27,
      [1]Склад!$E$14:$E$279, "Итог на конец недели"
    ),
    ""
  ),
  ""
)</f>
        <v>48904</v>
      </c>
      <c r="G27" xml:space="preserve">
        <f xml:space="preserve">IF(
  $G$1=[1]Склад!$J$13,
  IFERROR(
    SUMIFS(
      [1]Склад!$J$14:$J$279,
      [1]Склад!$B$14:$B$279, A27,
      [1]Склад!$E$14:$E$279, "Итог на конец недели"
    ),
    ""
  ),
  ""
)</f>
        <v>19200</v>
      </c>
      <c r="H27" xml:space="preserve">
        <f xml:space="preserve">IF(
  $H$1=[1]Склад!$K$13,
  IFERROR(
    SUMIFS(
      [1]Склад!$K$14:$K$279,
      [1]Склад!$B$14:$B$279, A27,
      [1]Склад!$E$14:$E$279, "Итог на конец недели"
    ),
    ""
  ),
  ""
)</f>
        <v>22659</v>
      </c>
      <c r="I27" xml:space="preserve">
        <f xml:space="preserve">IF(
  $I$1=[1]Склад!$L$13,
  IFERROR(
    SUMIFS(
      [1]Склад!$L$14:$L$279,
      [1]Склад!$B$14:$B$279, A27,
      [1]Склад!$E$14:$E$279, "Итог на конец недели"
    ),
    ""
  ),
  ""
)</f>
        <v>3204</v>
      </c>
      <c r="J27" xml:space="preserve">
        <f xml:space="preserve">IF(
  $J$1=[1]Склад!$O$13,
  IFERROR(
    SUMIFS(
      [1]Склад!$O$14:$O$279,
      [1]Склад!$B$14:$B$279, A27,
      [1]Склад!$E$14:$E$279, "Итог на конец недели"
    ),
    ""
  ),
  ""
)</f>
        <v>520</v>
      </c>
    </row>
    <row r="28" xml:space="preserve">
      <c r="A28">
        <v>27</v>
      </c>
      <c r="B28">
        <v>6</v>
      </c>
      <c r="C28" xml:space="preserve">
        <f xml:space="preserve">IF(
  $C$1=[1]Склад!$F$13,
  IFERROR(
    SUMIFS(
      [1]Склад!$F$14:$F$279,
      [1]Склад!$B$14:$B$279, A28,
      [1]Склад!$E$14:$E$279, "Итог на конец недели"
    ),
    ""
  ),
  ""
)</f>
        <v>2380</v>
      </c>
      <c r="D28" xml:space="preserve">
        <f xml:space="preserve">IF(
  $D$1=[1]Склад!$G$13,
  IFERROR(
    SUMIFS(
      [1]Склад!$G$14:$G$279,
      [1]Склад!$B$14:$B$279, A28,
      [1]Склад!$E$14:$E$279, "Итог на конец недели"
    ),
    ""
  ),
  ""
)</f>
        <v>56892</v>
      </c>
      <c r="E28" xml:space="preserve">
        <f xml:space="preserve">IF(
  $E$1=[1]Склад!$H$13,
  IFERROR(
    SUMIFS(
      [1]Склад!$H$14:$H$279,
      [1]Склад!$B$14:$B$279, A28,
      [1]Склад!$E$14:$E$279, "Итог на конец недели"
    ),
    ""
  ),
  ""
)</f>
        <v>44800</v>
      </c>
      <c r="F28" xml:space="preserve">
        <f xml:space="preserve">IF(
  $F$1=[1]Склад!$I$13,
  IFERROR(
    SUMIFS(
      [1]Склад!$I$14:$I$279,
      [1]Склад!$B$14:$B$279, A28,
      [1]Склад!$E$14:$E$279, "Итог на конец недели"
    ),
    ""
  ),
  ""
)</f>
        <v>46903</v>
      </c>
      <c r="G28" xml:space="preserve">
        <f xml:space="preserve">IF(
  $G$1=[1]Склад!$J$13,
  IFERROR(
    SUMIFS(
      [1]Склад!$J$14:$J$279,
      [1]Склад!$B$14:$B$279, A28,
      [1]Склад!$E$14:$E$279, "Итог на конец недели"
    ),
    ""
  ),
  ""
)</f>
        <v>18400</v>
      </c>
      <c r="H28" xml:space="preserve">
        <f xml:space="preserve">IF(
  $H$1=[1]Склад!$K$13,
  IFERROR(
    SUMIFS(
      [1]Склад!$K$14:$K$279,
      [1]Склад!$B$14:$B$279, A28,
      [1]Склад!$E$14:$E$279, "Итог на конец недели"
    ),
    ""
  ),
  ""
)</f>
        <v>21540</v>
      </c>
      <c r="I28" xml:space="preserve">
        <f xml:space="preserve">IF(
  $I$1=[1]Склад!$L$13,
  IFERROR(
    SUMIFS(
      [1]Склад!$L$14:$L$279,
      [1]Склад!$B$14:$B$279, A28,
      [1]Склад!$E$14:$E$279, "Итог на конец недели"
    ),
    ""
  ),
  ""
)</f>
        <v>3204</v>
      </c>
      <c r="J28" xml:space="preserve">
        <f xml:space="preserve">IF(
  $J$1=[1]Склад!$O$13,
  IFERROR(
    SUMIFS(
      [1]Склад!$O$14:$O$279,
      [1]Склад!$B$14:$B$279, A28,
      [1]Склад!$E$14:$E$279, "Итог на конец недели"
    ),
    ""
  ),
  ""
)</f>
        <v>426</v>
      </c>
    </row>
    <row r="29" xml:space="preserve">
      <c r="A29">
        <v>28</v>
      </c>
      <c r="B29">
        <v>7</v>
      </c>
      <c r="C29" xml:space="preserve">
        <f xml:space="preserve">IF(
  $C$1=[1]Склад!$F$13,
  IFERROR(
    SUMIFS(
      [1]Склад!$F$14:$F$279,
      [1]Склад!$B$14:$B$279, A29,
      [1]Склад!$E$14:$E$279, "Итог на конец недели"
    ),
    ""
  ),
  ""
)</f>
        <v>840</v>
      </c>
      <c r="D29" xml:space="preserve">
        <f xml:space="preserve">IF(
  $D$1=[1]Склад!$G$13,
  IFERROR(
    SUMIFS(
      [1]Склад!$G$14:$G$279,
      [1]Склад!$B$14:$B$279, A29,
      [1]Склад!$E$14:$E$279, "Итог на конец недели"
    ),
    ""
  ),
  ""
)</f>
        <v>54581</v>
      </c>
      <c r="E29" xml:space="preserve">
        <f xml:space="preserve">IF(
  $E$1=[1]Склад!$H$13,
  IFERROR(
    SUMIFS(
      [1]Склад!$H$14:$H$279,
      [1]Склад!$B$14:$B$279, A29,
      [1]Склад!$E$14:$E$279, "Итог на конец недели"
    ),
    ""
  ),
  ""
)</f>
        <v>43240</v>
      </c>
      <c r="F29" xml:space="preserve">
        <f xml:space="preserve">IF(
  $F$1=[1]Склад!$I$13,
  IFERROR(
    SUMIFS(
      [1]Склад!$I$14:$I$279,
      [1]Склад!$B$14:$B$279, A29,
      [1]Склад!$E$14:$E$279, "Итог на конец недели"
    ),
    ""
  ),
  ""
)</f>
        <v>44406</v>
      </c>
      <c r="G29" xml:space="preserve">
        <f xml:space="preserve">IF(
  $G$1=[1]Склад!$J$13,
  IFERROR(
    SUMIFS(
      [1]Склад!$J$14:$J$279,
      [1]Склад!$B$14:$B$279, A29,
      [1]Склад!$E$14:$E$279, "Итог на конец недели"
    ),
    ""
  ),
  ""
)</f>
        <v>17700</v>
      </c>
      <c r="H29" xml:space="preserve">
        <f xml:space="preserve">IF(
  $H$1=[1]Склад!$K$13,
  IFERROR(
    SUMIFS(
      [1]Склад!$K$14:$K$279,
      [1]Склад!$B$14:$B$279, A29,
      [1]Склад!$E$14:$E$279, "Итог на конец недели"
    ),
    ""
  ),
  ""
)</f>
        <v>20306</v>
      </c>
      <c r="I29" xml:space="preserve">
        <f xml:space="preserve">IF(
  $I$1=[1]Склад!$L$13,
  IFERROR(
    SUMIFS(
      [1]Склад!$L$14:$L$279,
      [1]Склад!$B$14:$B$279, A29,
      [1]Склад!$E$14:$E$279, "Итог на конец недели"
    ),
    ""
  ),
  ""
)</f>
        <v>3204</v>
      </c>
      <c r="J29" xml:space="preserve">
        <f xml:space="preserve">IF(
  $J$1=[1]Склад!$O$13,
  IFERROR(
    SUMIFS(
      [1]Склад!$O$14:$O$279,
      [1]Склад!$B$14:$B$279, A29,
      [1]Склад!$E$14:$E$279, "Итог на конец недели"
    ),
    ""
  ),
  ""
)</f>
        <v>325</v>
      </c>
    </row>
    <row r="30" xml:space="preserve">
      <c r="A30">
        <v>29</v>
      </c>
      <c r="B30">
        <v>7</v>
      </c>
      <c r="C30" xml:space="preserve">
        <f xml:space="preserve">IF(
  $C$1=[1]Склад!$F$13,
  IFERROR(
    SUMIFS(
      [1]Склад!$F$14:$F$279,
      [1]Склад!$B$14:$B$279, A30,
      [1]Склад!$E$14:$E$279, "Итог на конец недели"
    ),
    ""
  ),
  ""
)</f>
        <v>40</v>
      </c>
      <c r="D30" xml:space="preserve">
        <f xml:space="preserve">IF(
  $D$1=[1]Склад!$G$13,
  IFERROR(
    SUMIFS(
      [1]Склад!$G$14:$G$279,
      [1]Склад!$B$14:$B$279, A30,
      [1]Склад!$E$14:$E$279, "Итог на конец недели"
    ),
    ""
  ),
  ""
)</f>
        <v>52116</v>
      </c>
      <c r="E30" xml:space="preserve">
        <f xml:space="preserve">IF(
  $E$1=[1]Склад!$H$13,
  IFERROR(
    SUMIFS(
      [1]Склад!$H$14:$H$279,
      [1]Склад!$B$14:$B$279, A30,
      [1]Склад!$E$14:$E$279, "Итог на конец недели"
    ),
    ""
  ),
  ""
)</f>
        <v>42000</v>
      </c>
      <c r="F30" xml:space="preserve">
        <f xml:space="preserve">IF(
  $F$1=[1]Склад!$I$13,
  IFERROR(
    SUMIFS(
      [1]Склад!$I$14:$I$279,
      [1]Склад!$B$14:$B$279, A30,
      [1]Склад!$E$14:$E$279, "Итог на конец недели"
    ),
    ""
  ),
  ""
)</f>
        <v>41654</v>
      </c>
      <c r="G30" xml:space="preserve">
        <f xml:space="preserve">IF(
  $G$1=[1]Склад!$J$13,
  IFERROR(
    SUMIFS(
      [1]Склад!$J$14:$J$279,
      [1]Склад!$B$14:$B$279, A30,
      [1]Склад!$E$14:$E$279, "Итог на конец недели"
    ),
    ""
  ),
  ""
)</f>
        <v>17000</v>
      </c>
      <c r="H30" xml:space="preserve">
        <f xml:space="preserve">IF(
  $H$1=[1]Склад!$K$13,
  IFERROR(
    SUMIFS(
      [1]Склад!$K$14:$K$279,
      [1]Склад!$B$14:$B$279, A30,
      [1]Склад!$E$14:$E$279, "Итог на конец недели"
    ),
    ""
  ),
  ""
)</f>
        <v>18303</v>
      </c>
      <c r="I30" xml:space="preserve">
        <f xml:space="preserve">IF(
  $I$1=[1]Склад!$L$13,
  IFERROR(
    SUMIFS(
      [1]Склад!$L$14:$L$279,
      [1]Склад!$B$14:$B$279, A30,
      [1]Склад!$E$14:$E$279, "Итог на конец недели"
    ),
    ""
  ),
  ""
)</f>
        <v>3204</v>
      </c>
      <c r="J30" xml:space="preserve">
        <f xml:space="preserve">IF(
  $J$1=[1]Склад!$O$13,
  IFERROR(
    SUMIFS(
      [1]Склад!$O$14:$O$279,
      [1]Склад!$B$14:$B$279, A30,
      [1]Склад!$E$14:$E$279, "Итог на конец недели"
    ),
    ""
  ),
  ""
)</f>
        <v>222</v>
      </c>
    </row>
    <row r="31" xml:space="preserve">
      <c r="A31">
        <v>30</v>
      </c>
      <c r="B31">
        <v>7</v>
      </c>
      <c r="C31" xml:space="preserve">
        <f xml:space="preserve">IF(
  $C$1=[1]Склад!$F$13,
  IFERROR(
    SUMIFS(
      [1]Склад!$F$14:$F$279,
      [1]Склад!$B$14:$B$279, A31,
      [1]Склад!$E$14:$E$279, "Итог на конец недели"
    ),
    ""
  ),
  ""
)</f>
        <v>0</v>
      </c>
      <c r="D31" xml:space="preserve">
        <f xml:space="preserve">IF(
  $D$1=[1]Склад!$G$13,
  IFERROR(
    SUMIFS(
      [1]Склад!$G$14:$G$279,
      [1]Склад!$B$14:$B$279, A31,
      [1]Склад!$E$14:$E$279, "Итог на конец недели"
    ),
    ""
  ),
  ""
)</f>
        <v>49603</v>
      </c>
      <c r="E31" xml:space="preserve">
        <f xml:space="preserve">IF(
  $E$1=[1]Склад!$H$13,
  IFERROR(
    SUMIFS(
      [1]Склад!$H$14:$H$279,
      [1]Склад!$B$14:$B$279, A31,
      [1]Склад!$E$14:$E$279, "Итог на конец недели"
    ),
    ""
  ),
  ""
)</f>
        <v>40880</v>
      </c>
      <c r="F31" xml:space="preserve">
        <f xml:space="preserve">IF(
  $F$1=[1]Склад!$I$13,
  IFERROR(
    SUMIFS(
      [1]Склад!$I$14:$I$279,
      [1]Склад!$B$14:$B$279, A31,
      [1]Склад!$E$14:$E$279, "Итог на конец недели"
    ),
    ""
  ),
  ""
)</f>
        <v>38843</v>
      </c>
      <c r="G31" xml:space="preserve">
        <f xml:space="preserve">IF(
  $G$1=[1]Склад!$J$13,
  IFERROR(
    SUMIFS(
      [1]Склад!$J$14:$J$279,
      [1]Склад!$B$14:$B$279, A31,
      [1]Склад!$E$14:$E$279, "Итог на конец недели"
    ),
    ""
  ),
  ""
)</f>
        <v>16500</v>
      </c>
      <c r="H31" xml:space="preserve">
        <f xml:space="preserve">IF(
  $H$1=[1]Склад!$K$13,
  IFERROR(
    SUMIFS(
      [1]Склад!$K$14:$K$279,
      [1]Склад!$B$14:$B$279, A31,
      [1]Склад!$E$14:$E$279, "Итог на конец недели"
    ),
    ""
  ),
  ""
)</f>
        <v>16305</v>
      </c>
      <c r="I31" xml:space="preserve">
        <f xml:space="preserve">IF(
  $I$1=[1]Склад!$L$13,
  IFERROR(
    SUMIFS(
      [1]Склад!$L$14:$L$279,
      [1]Склад!$B$14:$B$279, A31,
      [1]Склад!$E$14:$E$279, "Итог на конец недели"
    ),
    ""
  ),
  ""
)</f>
        <v>3204</v>
      </c>
      <c r="J31" xml:space="preserve">
        <f xml:space="preserve">IF(
  $J$1=[1]Склад!$O$13,
  IFERROR(
    SUMIFS(
      [1]Склад!$O$14:$O$279,
      [1]Склад!$B$14:$B$279, A31,
      [1]Склад!$E$14:$E$279, "Итог на конец недели"
    ),
    ""
  ),
  ""
)</f>
        <v>1665</v>
      </c>
    </row>
    <row r="32" xml:space="preserve">
      <c r="A32">
        <v>31</v>
      </c>
      <c r="B32">
        <v>7</v>
      </c>
      <c r="C32" xml:space="preserve">
        <f xml:space="preserve">IF(
  $C$1=[1]Склад!$F$13,
  IFERROR(
    SUMIFS(
      [1]Склад!$F$14:$F$279,
      [1]Склад!$B$14:$B$279, A32,
      [1]Склад!$E$14:$E$279, "Итог на конец недели"
    ),
    ""
  ),
  ""
)</f>
        <v>3882</v>
      </c>
      <c r="D32" xml:space="preserve">
        <f xml:space="preserve">IF(
  $D$1=[1]Склад!$G$13,
  IFERROR(
    SUMIFS(
      [1]Склад!$G$14:$G$279,
      [1]Склад!$B$14:$B$279, A32,
      [1]Склад!$E$14:$E$279, "Итог на конец недели"
    ),
    ""
  ),
  ""
)</f>
        <v>46993</v>
      </c>
      <c r="E32" xml:space="preserve">
        <f xml:space="preserve">IF(
  $E$1=[1]Склад!$H$13,
  IFERROR(
    SUMIFS(
      [1]Склад!$H$14:$H$279,
      [1]Склад!$B$14:$B$279, A32,
      [1]Склад!$E$14:$E$279, "Итог на конец недели"
    ),
    ""
  ),
  ""
)</f>
        <v>38080</v>
      </c>
      <c r="F32" xml:space="preserve">
        <f xml:space="preserve">IF(
  $F$1=[1]Склад!$I$13,
  IFERROR(
    SUMIFS(
      [1]Склад!$I$14:$I$279,
      [1]Склад!$B$14:$B$279, A32,
      [1]Склад!$E$14:$E$279, "Итог на конец недели"
    ),
    ""
  ),
  ""
)</f>
        <v>36040</v>
      </c>
      <c r="G32" xml:space="preserve">
        <f xml:space="preserve">IF(
  $G$1=[1]Склад!$J$13,
  IFERROR(
    SUMIFS(
      [1]Склад!$J$14:$J$279,
      [1]Склад!$B$14:$B$279, A32,
      [1]Склад!$E$14:$E$279, "Итог на конец недели"
    ),
    ""
  ),
  ""
)</f>
        <v>15900</v>
      </c>
      <c r="H32" xml:space="preserve">
        <f xml:space="preserve">IF(
  $H$1=[1]Склад!$K$13,
  IFERROR(
    SUMIFS(
      [1]Склад!$K$14:$K$279,
      [1]Склад!$B$14:$B$279, A32,
      [1]Склад!$E$14:$E$279, "Итог на конец недели"
    ),
    ""
  ),
  ""
)</f>
        <v>14832</v>
      </c>
      <c r="I32" xml:space="preserve">
        <f xml:space="preserve">IF(
  $I$1=[1]Склад!$L$13,
  IFERROR(
    SUMIFS(
      [1]Склад!$L$14:$L$279,
      [1]Склад!$B$14:$B$279, A32,
      [1]Склад!$E$14:$E$279, "Итог на конец недели"
    ),
    ""
  ),
  ""
)</f>
        <v>3204</v>
      </c>
      <c r="J32" xml:space="preserve">
        <f xml:space="preserve">IF(
  $J$1=[1]Склад!$O$13,
  IFERROR(
    SUMIFS(
      [1]Склад!$O$14:$O$279,
      [1]Склад!$B$14:$B$279, A32,
      [1]Склад!$E$14:$E$279, "Итог на конец недели"
    ),
    ""
  ),
  ""
)</f>
        <v>1546</v>
      </c>
    </row>
    <row r="33" xml:space="preserve">
      <c r="A33">
        <v>32</v>
      </c>
      <c r="B33">
        <v>8</v>
      </c>
      <c r="C33" xml:space="preserve">
        <f xml:space="preserve">IF(
  $C$1=[1]Склад!$F$13,
  IFERROR(
    SUMIFS(
      [1]Склад!$F$14:$F$279,
      [1]Склад!$B$14:$B$279, A33,
      [1]Склад!$E$14:$E$279, "Итог на конец недели"
    ),
    ""
  ),
  ""
)</f>
        <v>2160</v>
      </c>
      <c r="D33" xml:space="preserve">
        <f xml:space="preserve">IF(
  $D$1=[1]Склад!$G$13,
  IFERROR(
    SUMIFS(
      [1]Склад!$G$14:$G$279,
      [1]Склад!$B$14:$B$279, A33,
      [1]Склад!$E$14:$E$279, "Итог на конец недели"
    ),
    ""
  ),
  ""
)</f>
        <v>44279</v>
      </c>
      <c r="E33" xml:space="preserve">
        <f xml:space="preserve">IF(
  $E$1=[1]Склад!$H$13,
  IFERROR(
    SUMIFS(
      [1]Склад!$H$14:$H$279,
      [1]Склад!$B$14:$B$279, A33,
      [1]Склад!$E$14:$E$279, "Итог на конец недели"
    ),
    ""
  ),
  ""
)</f>
        <v>35174</v>
      </c>
      <c r="F33" xml:space="preserve">
        <f xml:space="preserve">IF(
  $F$1=[1]Склад!$I$13,
  IFERROR(
    SUMIFS(
      [1]Склад!$I$14:$I$279,
      [1]Склад!$B$14:$B$279, A33,
      [1]Склад!$E$14:$E$279, "Итог на конец недели"
    ),
    ""
  ),
  ""
)</f>
        <v>32628</v>
      </c>
      <c r="G33" xml:space="preserve">
        <f xml:space="preserve">IF(
  $G$1=[1]Склад!$J$13,
  IFERROR(
    SUMIFS(
      [1]Склад!$J$14:$J$279,
      [1]Склад!$B$14:$B$279, A33,
      [1]Склад!$E$14:$E$279, "Итог на конец недели"
    ),
    ""
  ),
  ""
)</f>
        <v>15280</v>
      </c>
      <c r="H33" xml:space="preserve">
        <f xml:space="preserve">IF(
  $H$1=[1]Склад!$K$13,
  IFERROR(
    SUMIFS(
      [1]Склад!$K$14:$K$279,
      [1]Склад!$B$14:$B$279, A33,
      [1]Склад!$E$14:$E$279, "Итог на конец недели"
    ),
    ""
  ),
  ""
)</f>
        <v>13464</v>
      </c>
      <c r="I33" xml:space="preserve">
        <f xml:space="preserve">IF(
  $I$1=[1]Склад!$L$13,
  IFERROR(
    SUMIFS(
      [1]Склад!$L$14:$L$279,
      [1]Склад!$B$14:$B$279, A33,
      [1]Склад!$E$14:$E$279, "Итог на конец недели"
    ),
    ""
  ),
  ""
)</f>
        <v>3204</v>
      </c>
      <c r="J33" xml:space="preserve">
        <f xml:space="preserve">IF(
  $J$1=[1]Склад!$O$13,
  IFERROR(
    SUMIFS(
      [1]Склад!$O$14:$O$279,
      [1]Склад!$B$14:$B$279, A33,
      [1]Склад!$E$14:$E$279, "Итог на конец недели"
    ),
    ""
  ),
  ""
)</f>
        <v>797</v>
      </c>
    </row>
    <row r="34" xml:space="preserve">
      <c r="A34">
        <v>33</v>
      </c>
      <c r="B34">
        <v>8</v>
      </c>
      <c r="C34" xml:space="preserve">
        <f xml:space="preserve">IF(
  $C$1=[1]Склад!$F$13,
  IFERROR(
    SUMIFS(
      [1]Склад!$F$14:$F$279,
      [1]Склад!$B$14:$B$279, A34,
      [1]Склад!$E$14:$E$279, "Итог на конец недели"
    ),
    ""
  ),
  ""
)</f>
        <v>1800</v>
      </c>
      <c r="D34" xml:space="preserve">
        <f xml:space="preserve">IF(
  $D$1=[1]Склад!$G$13,
  IFERROR(
    SUMIFS(
      [1]Склад!$G$14:$G$279,
      [1]Склад!$B$14:$B$279, A34,
      [1]Склад!$E$14:$E$279, "Итог на конец недели"
    ),
    ""
  ),
  ""
)</f>
        <v>42115</v>
      </c>
      <c r="E34" xml:space="preserve">
        <f xml:space="preserve">IF(
  $E$1=[1]Склад!$H$13,
  IFERROR(
    SUMIFS(
      [1]Склад!$H$14:$H$279,
      [1]Склад!$B$14:$B$279, A34,
      [1]Склад!$E$14:$E$279, "Итог на конец недели"
    ),
    ""
  ),
  ""
)</f>
        <v>34220</v>
      </c>
      <c r="F34" xml:space="preserve">
        <f xml:space="preserve">IF(
  $F$1=[1]Склад!$I$13,
  IFERROR(
    SUMIFS(
      [1]Склад!$I$14:$I$279,
      [1]Склад!$B$14:$B$279, A34,
      [1]Склад!$E$14:$E$279, "Итог на конец недели"
    ),
    ""
  ),
  ""
)</f>
        <v>29102</v>
      </c>
      <c r="G34" xml:space="preserve">
        <f xml:space="preserve">IF(
  $G$1=[1]Склад!$J$13,
  IFERROR(
    SUMIFS(
      [1]Склад!$J$14:$J$279,
      [1]Склад!$B$14:$B$279, A34,
      [1]Склад!$E$14:$E$279, "Итог на конец недели"
    ),
    ""
  ),
  ""
)</f>
        <v>15060</v>
      </c>
      <c r="H34" xml:space="preserve">
        <f xml:space="preserve">IF(
  $H$1=[1]Склад!$K$13,
  IFERROR(
    SUMIFS(
      [1]Склад!$K$14:$K$279,
      [1]Склад!$B$14:$B$279, A34,
      [1]Склад!$E$14:$E$279, "Итог на конец недели"
    ),
    ""
  ),
  ""
)</f>
        <v>11832</v>
      </c>
      <c r="I34" xml:space="preserve">
        <f xml:space="preserve">IF(
  $I$1=[1]Склад!$L$13,
  IFERROR(
    SUMIFS(
      [1]Склад!$L$14:$L$279,
      [1]Склад!$B$14:$B$279, A34,
      [1]Склад!$E$14:$E$279, "Итог на конец недели"
    ),
    ""
  ),
  ""
)</f>
        <v>3204</v>
      </c>
      <c r="J34" xml:space="preserve">
        <f xml:space="preserve">IF(
  $J$1=[1]Склад!$O$13,
  IFERROR(
    SUMIFS(
      [1]Склад!$O$14:$O$279,
      [1]Склад!$B$14:$B$279, A34,
      [1]Склад!$E$14:$E$279, "Итог на конец недели"
    ),
    ""
  ),
  ""
)</f>
        <v>661</v>
      </c>
    </row>
    <row r="35" xml:space="preserve">
      <c r="A35">
        <v>34</v>
      </c>
      <c r="B35">
        <v>8</v>
      </c>
      <c r="C35" xml:space="preserve">
        <f xml:space="preserve">IF(
  $C$1=[1]Склад!$F$13,
  IFERROR(
    SUMIFS(
      [1]Склад!$F$14:$F$279,
      [1]Склад!$B$14:$B$279, A35,
      [1]Склад!$E$14:$E$279, "Итог на конец недели"
    ),
    ""
  ),
  ""
)</f>
        <v>1440</v>
      </c>
      <c r="D35" xml:space="preserve">
        <f xml:space="preserve">IF(
  $D$1=[1]Склад!$G$13,
  IFERROR(
    SUMIFS(
      [1]Склад!$G$14:$G$279,
      [1]Склад!$B$14:$B$279, A35,
      [1]Склад!$E$14:$E$279, "Итог на конец недели"
    ),
    ""
  ),
  ""
)</f>
        <v>39780</v>
      </c>
      <c r="E35" xml:space="preserve">
        <f xml:space="preserve">IF(
  $E$1=[1]Склад!$H$13,
  IFERROR(
    SUMIFS(
      [1]Склад!$H$14:$H$279,
      [1]Склад!$B$14:$B$279, A35,
      [1]Склад!$E$14:$E$279, "Итог на конец недели"
    ),
    ""
  ),
  ""
)</f>
        <v>33355</v>
      </c>
      <c r="F35" xml:space="preserve">
        <f xml:space="preserve">IF(
  $F$1=[1]Склад!$I$13,
  IFERROR(
    SUMIFS(
      [1]Склад!$I$14:$I$279,
      [1]Склад!$B$14:$B$279, A35,
      [1]Склад!$E$14:$E$279, "Итог на конец недели"
    ),
    ""
  ),
  ""
)</f>
        <v>26904</v>
      </c>
      <c r="G35" xml:space="preserve">
        <f xml:space="preserve">IF(
  $G$1=[1]Склад!$J$13,
  IFERROR(
    SUMIFS(
      [1]Склад!$J$14:$J$279,
      [1]Склад!$B$14:$B$279, A35,
      [1]Склад!$E$14:$E$279, "Итог на конец недели"
    ),
    ""
  ),
  ""
)</f>
        <v>15060</v>
      </c>
      <c r="H35" xml:space="preserve">
        <f xml:space="preserve">IF(
  $H$1=[1]Склад!$K$13,
  IFERROR(
    SUMIFS(
      [1]Склад!$K$14:$K$279,
      [1]Склад!$B$14:$B$279, A35,
      [1]Склад!$E$14:$E$279, "Итог на конец недели"
    ),
    ""
  ),
  ""
)</f>
        <v>10101</v>
      </c>
      <c r="I35" xml:space="preserve">
        <f xml:space="preserve">IF(
  $I$1=[1]Склад!$L$13,
  IFERROR(
    SUMIFS(
      [1]Склад!$L$14:$L$279,
      [1]Склад!$B$14:$B$279, A35,
      [1]Склад!$E$14:$E$279, "Итог на конец недели"
    ),
    ""
  ),
  ""
)</f>
        <v>3204</v>
      </c>
      <c r="J35" xml:space="preserve">
        <f xml:space="preserve">IF(
  $J$1=[1]Склад!$O$13,
  IFERROR(
    SUMIFS(
      [1]Склад!$O$14:$O$279,
      [1]Склад!$B$14:$B$279, A35,
      [1]Склад!$E$14:$E$279, "Итог на конец недели"
    ),
    ""
  ),
  ""
)</f>
        <v>519</v>
      </c>
    </row>
    <row r="36" xml:space="preserve">
      <c r="A36">
        <v>35</v>
      </c>
      <c r="B36">
        <v>8</v>
      </c>
      <c r="C36" xml:space="preserve">
        <f xml:space="preserve">IF(
  $C$1=[1]Склад!$F$13,
  IFERROR(
    SUMIFS(
      [1]Склад!$F$14:$F$279,
      [1]Склад!$B$14:$B$279, A36,
      [1]Склад!$E$14:$E$279, "Итог на конец недели"
    ),
    ""
  ),
  ""
)</f>
        <v>15960</v>
      </c>
      <c r="D36" xml:space="preserve">
        <f xml:space="preserve">IF(
  $D$1=[1]Склад!$G$13,
  IFERROR(
    SUMIFS(
      [1]Склад!$G$14:$G$279,
      [1]Склад!$B$14:$B$279, A36,
      [1]Склад!$E$14:$E$279, "Итог на конец недели"
    ),
    ""
  ),
  ""
)</f>
        <v>46034</v>
      </c>
      <c r="E36" xml:space="preserve">
        <f xml:space="preserve">IF(
  $E$1=[1]Склад!$H$13,
  IFERROR(
    SUMIFS(
      [1]Склад!$H$14:$H$279,
      [1]Склад!$B$14:$B$279, A36,
      [1]Склад!$E$14:$E$279, "Итог на конец недели"
    ),
    ""
  ),
  ""
)</f>
        <v>49280</v>
      </c>
      <c r="F36" xml:space="preserve">
        <f xml:space="preserve">IF(
  $F$1=[1]Склад!$I$13,
  IFERROR(
    SUMIFS(
      [1]Склад!$I$14:$I$279,
      [1]Склад!$B$14:$B$279, A36,
      [1]Склад!$E$14:$E$279, "Итог на конец недели"
    ),
    ""
  ),
  ""
)</f>
        <v>14912</v>
      </c>
      <c r="G36" xml:space="preserve">
        <f xml:space="preserve">IF(
  $G$1=[1]Склад!$J$13,
  IFERROR(
    SUMIFS(
      [1]Склад!$J$14:$J$279,
      [1]Склад!$B$14:$B$279, A36,
      [1]Склад!$E$14:$E$279, "Итог на конец недели"
    ),
    ""
  ),
  ""
)</f>
        <v>15060</v>
      </c>
      <c r="H36" xml:space="preserve">
        <f xml:space="preserve">IF(
  $H$1=[1]Склад!$K$13,
  IFERROR(
    SUMIFS(
      [1]Склад!$K$14:$K$279,
      [1]Склад!$B$14:$B$279, A36,
      [1]Склад!$E$14:$E$279, "Итог на конец недели"
    ),
    ""
  ),
  ""
)</f>
        <v>8544</v>
      </c>
      <c r="I36" xml:space="preserve">
        <f xml:space="preserve">IF(
  $I$1=[1]Склад!$L$13,
  IFERROR(
    SUMIFS(
      [1]Склад!$L$14:$L$279,
      [1]Склад!$B$14:$B$279, A36,
      [1]Склад!$E$14:$E$279, "Итог на конец недели"
    ),
    ""
  ),
  ""
)</f>
        <v>3204</v>
      </c>
      <c r="J36" xml:space="preserve">
        <f xml:space="preserve">IF(
  $J$1=[1]Склад!$O$13,
  IFERROR(
    SUMIFS(
      [1]Склад!$O$14:$O$279,
      [1]Склад!$B$14:$B$279, A36,
      [1]Склад!$E$14:$E$279, "Итог на конец недели"
    ),
    ""
  ),
  ""
)</f>
        <v>371</v>
      </c>
    </row>
    <row r="37" xml:space="preserve">
      <c r="A37">
        <v>36</v>
      </c>
      <c r="B37">
        <v>9</v>
      </c>
      <c r="C37" xml:space="preserve">
        <f xml:space="preserve">IF(
  $C$1=[1]Склад!$F$13,
  IFERROR(
    SUMIFS(
      [1]Склад!$F$14:$F$279,
      [1]Склад!$B$14:$B$279, A37,
      [1]Склад!$E$14:$E$279, "Итог на конец недели"
    ),
    ""
  ),
  ""
)</f>
        <v>15240</v>
      </c>
      <c r="D37" xml:space="preserve">
        <f xml:space="preserve">IF(
  $D$1=[1]Склад!$G$13,
  IFERROR(
    SUMIFS(
      [1]Склад!$G$14:$G$279,
      [1]Склад!$B$14:$B$279, A37,
      [1]Склад!$E$14:$E$279, "Итог на конец недели"
    ),
    ""
  ),
  ""
)</f>
        <v>41800</v>
      </c>
      <c r="E37" xml:space="preserve">
        <f xml:space="preserve">IF(
  $E$1=[1]Склад!$H$13,
  IFERROR(
    SUMIFS(
      [1]Склад!$H$14:$H$279,
      [1]Склад!$B$14:$B$279, A37,
      [1]Склад!$E$14:$E$279, "Итог на конец недели"
    ),
    ""
  ),
  ""
)</f>
        <v>45360</v>
      </c>
      <c r="F37" xml:space="preserve">
        <f xml:space="preserve">IF(
  $F$1=[1]Склад!$I$13,
  IFERROR(
    SUMIFS(
      [1]Склад!$I$14:$I$279,
      [1]Склад!$B$14:$B$279, A37,
      [1]Склад!$E$14:$E$279, "Итог на конец недели"
    ),
    ""
  ),
  ""
)</f>
        <v>12328</v>
      </c>
      <c r="G37" xml:space="preserve">
        <f xml:space="preserve">IF(
  $G$1=[1]Склад!$J$13,
  IFERROR(
    SUMIFS(
      [1]Склад!$J$14:$J$279,
      [1]Склад!$B$14:$B$279, A37,
      [1]Склад!$E$14:$E$279, "Итог на конец недели"
    ),
    ""
  ),
  ""
)</f>
        <v>15060</v>
      </c>
      <c r="H37" xml:space="preserve">
        <f xml:space="preserve">IF(
  $H$1=[1]Склад!$K$13,
  IFERROR(
    SUMIFS(
      [1]Склад!$K$14:$K$279,
      [1]Склад!$B$14:$B$279, A37,
      [1]Склад!$E$14:$E$279, "Итог на конец недели"
    ),
    ""
  ),
  ""
)</f>
        <v>6486</v>
      </c>
      <c r="I37" xml:space="preserve">
        <f xml:space="preserve">IF(
  $I$1=[1]Склад!$L$13,
  IFERROR(
    SUMIFS(
      [1]Склад!$L$14:$L$279,
      [1]Склад!$B$14:$B$279, A37,
      [1]Склад!$E$14:$E$279, "Итог на конец недели"
    ),
    ""
  ),
  ""
)</f>
        <v>3204</v>
      </c>
      <c r="J37" xml:space="preserve">
        <f xml:space="preserve">IF(
  $J$1=[1]Склад!$O$13,
  IFERROR(
    SUMIFS(
      [1]Склад!$O$14:$O$279,
      [1]Склад!$B$14:$B$279, A37,
      [1]Склад!$E$14:$E$279, "Итог на конец недели"
    ),
    ""
  ),
  ""
)</f>
        <v>265</v>
      </c>
    </row>
    <row r="38" xml:space="preserve">
      <c r="A38">
        <v>37</v>
      </c>
      <c r="B38">
        <v>9</v>
      </c>
      <c r="C38" xml:space="preserve">
        <f xml:space="preserve">IF(
  $C$1=[1]Склад!$F$13,
  IFERROR(
    SUMIFS(
      [1]Склад!$F$14:$F$279,
      [1]Склад!$B$14:$B$279, A38,
      [1]Склад!$E$14:$E$279, "Итог на конец недели"
    ),
    ""
  ),
  ""
)</f>
        <v>14640</v>
      </c>
      <c r="D38" xml:space="preserve">
        <f xml:space="preserve">IF(
  $D$1=[1]Склад!$G$13,
  IFERROR(
    SUMIFS(
      [1]Склад!$G$14:$G$279,
      [1]Склад!$B$14:$B$279, A38,
      [1]Склад!$E$14:$E$279, "Итог на конец недели"
    ),
    ""
  ),
  ""
)</f>
        <v>37950</v>
      </c>
      <c r="E38" xml:space="preserve">
        <f xml:space="preserve">IF(
  $E$1=[1]Склад!$H$13,
  IFERROR(
    SUMIFS(
      [1]Склад!$H$14:$H$279,
      [1]Склад!$B$14:$B$279, A38,
      [1]Склад!$E$14:$E$279, "Итог на конец недели"
    ),
    ""
  ),
  ""
)</f>
        <v>43680</v>
      </c>
      <c r="F38" xml:space="preserve">
        <f xml:space="preserve">IF(
  $F$1=[1]Склад!$I$13,
  IFERROR(
    SUMIFS(
      [1]Склад!$I$14:$I$279,
      [1]Склад!$B$14:$B$279, A38,
      [1]Склад!$E$14:$E$279, "Итог на конец недели"
    ),
    ""
  ),
  ""
)</f>
        <v>10088</v>
      </c>
      <c r="G38" xml:space="preserve">
        <f xml:space="preserve">IF(
  $G$1=[1]Склад!$J$13,
  IFERROR(
    SUMIFS(
      [1]Склад!$J$14:$J$279,
      [1]Склад!$B$14:$B$279, A38,
      [1]Склад!$E$14:$E$279, "Итог на конец недели"
    ),
    ""
  ),
  ""
)</f>
        <v>14650</v>
      </c>
      <c r="H38" xml:space="preserve">
        <f xml:space="preserve">IF(
  $H$1=[1]Склад!$K$13,
  IFERROR(
    SUMIFS(
      [1]Склад!$K$14:$K$279,
      [1]Склад!$B$14:$B$279, A38,
      [1]Склад!$E$14:$E$279, "Итог на конец недели"
    ),
    ""
  ),
  ""
)</f>
        <v>5576</v>
      </c>
      <c r="I38" xml:space="preserve">
        <f xml:space="preserve">IF(
  $I$1=[1]Склад!$L$13,
  IFERROR(
    SUMIFS(
      [1]Склад!$L$14:$L$279,
      [1]Склад!$B$14:$B$279, A38,
      [1]Склад!$E$14:$E$279, "Итог на конец недели"
    ),
    ""
  ),
  ""
)</f>
        <v>3204</v>
      </c>
      <c r="J38" xml:space="preserve">
        <f xml:space="preserve">IF(
  $J$1=[1]Склад!$O$13,
  IFERROR(
    SUMIFS(
      [1]Склад!$O$14:$O$279,
      [1]Склад!$B$14:$B$279, A38,
      [1]Склад!$E$14:$E$279, "Итог на конец недели"
    ),
    ""
  ),
  ""
)</f>
        <v>2418</v>
      </c>
    </row>
    <row r="39" xml:space="preserve">
      <c r="A39">
        <v>38</v>
      </c>
      <c r="B39">
        <v>9</v>
      </c>
      <c r="C39" xml:space="preserve">
        <f xml:space="preserve">IF(
  $C$1=[1]Склад!$F$13,
  IFERROR(
    SUMIFS(
      [1]Склад!$F$14:$F$279,
      [1]Склад!$B$14:$B$279, A39,
      [1]Склад!$E$14:$E$279, "Итог на конец недели"
    ),
    ""
  ),
  ""
)</f>
        <v>14178</v>
      </c>
      <c r="D39" xml:space="preserve">
        <f xml:space="preserve">IF(
  $D$1=[1]Склад!$G$13,
  IFERROR(
    SUMIFS(
      [1]Склад!$G$14:$G$279,
      [1]Склад!$B$14:$B$279, A39,
      [1]Склад!$E$14:$E$279, "Итог на конец недели"
    ),
    ""
  ),
  ""
)</f>
        <v>37025</v>
      </c>
      <c r="E39" xml:space="preserve">
        <f xml:space="preserve">IF(
  $E$1=[1]Склад!$H$13,
  IFERROR(
    SUMIFS(
      [1]Склад!$H$14:$H$279,
      [1]Склад!$B$14:$B$279, A39,
      [1]Склад!$E$14:$E$279, "Итог на конец недели"
    ),
    ""
  ),
  ""
)</f>
        <v>42560</v>
      </c>
      <c r="F39" xml:space="preserve">
        <f xml:space="preserve">IF(
  $F$1=[1]Склад!$I$13,
  IFERROR(
    SUMIFS(
      [1]Склад!$I$14:$I$279,
      [1]Склад!$B$14:$B$279, A39,
      [1]Склад!$E$14:$E$279, "Итог на конец недели"
    ),
    ""
  ),
  ""
)</f>
        <v>21160</v>
      </c>
      <c r="G39" xml:space="preserve">
        <f xml:space="preserve">IF(
  $G$1=[1]Склад!$J$13,
  IFERROR(
    SUMIFS(
      [1]Склад!$J$14:$J$279,
      [1]Склад!$B$14:$B$279, A39,
      [1]Склад!$E$14:$E$279, "Итог на конец недели"
    ),
    ""
  ),
  ""
)</f>
        <v>14350</v>
      </c>
      <c r="H39" xml:space="preserve">
        <f xml:space="preserve">IF(
  $H$1=[1]Склад!$K$13,
  IFERROR(
    SUMIFS(
      [1]Склад!$K$14:$K$279,
      [1]Склад!$B$14:$B$279, A39,
      [1]Склад!$E$14:$E$279, "Итог на конец недели"
    ),
    ""
  ),
  ""
)</f>
        <v>25176</v>
      </c>
      <c r="I39" xml:space="preserve">
        <f xml:space="preserve">IF(
  $I$1=[1]Склад!$L$13,
  IFERROR(
    SUMIFS(
      [1]Склад!$L$14:$L$279,
      [1]Склад!$B$14:$B$279, A39,
      [1]Склад!$E$14:$E$279, "Итог на конец недели"
    ),
    ""
  ),
  ""
)</f>
        <v>3204</v>
      </c>
      <c r="J39" xml:space="preserve">
        <f xml:space="preserve">IF(
  $J$1=[1]Склад!$O$13,
  IFERROR(
    SUMIFS(
      [1]Склад!$O$14:$O$279,
      [1]Склад!$B$14:$B$279, A39,
      [1]Склад!$E$14:$E$279, "Итог на конец недели"
    ),
    ""
  ),
  ""
)</f>
        <v>3384</v>
      </c>
    </row>
    <row r="40" xml:space="preserve">
      <c r="A40">
        <v>39</v>
      </c>
      <c r="B40">
        <v>9</v>
      </c>
      <c r="C40" xml:space="preserve">
        <f xml:space="preserve">IF(
  $C$1=[1]Склад!$F$13,
  IFERROR(
    SUMIFS(
      [1]Склад!$F$14:$F$279,
      [1]Склад!$B$14:$B$279, A40,
      [1]Склад!$E$14:$E$279, "Итог на конец недели"
    ),
    ""
  ),
  ""
)</f>
        <v>13876</v>
      </c>
      <c r="D40" xml:space="preserve">
        <f xml:space="preserve">IF(
  $D$1=[1]Склад!$G$13,
  IFERROR(
    SUMIFS(
      [1]Склад!$G$14:$G$279,
      [1]Склад!$B$14:$B$279, A40,
      [1]Склад!$E$14:$E$279, "Итог на конец недели"
    ),
    ""
  ),
  ""
)</f>
        <v>34068</v>
      </c>
      <c r="E40" xml:space="preserve">
        <f xml:space="preserve">IF(
  $E$1=[1]Склад!$H$13,
  IFERROR(
    SUMIFS(
      [1]Склад!$H$14:$H$279,
      [1]Склад!$B$14:$B$279, A40,
      [1]Склад!$E$14:$E$279, "Итог на конец недели"
    ),
    ""
  ),
  ""
)</f>
        <v>41491</v>
      </c>
      <c r="F40" xml:space="preserve">
        <f xml:space="preserve">IF(
  $F$1=[1]Склад!$I$13,
  IFERROR(
    SUMIFS(
      [1]Склад!$I$14:$I$279,
      [1]Склад!$B$14:$B$279, A40,
      [1]Склад!$E$14:$E$279, "Итог на конец недели"
    ),
    ""
  ),
  ""
)</f>
        <v>34725</v>
      </c>
      <c r="G40" xml:space="preserve">
        <f xml:space="preserve">IF(
  $G$1=[1]Склад!$J$13,
  IFERROR(
    SUMIFS(
      [1]Склад!$J$14:$J$279,
      [1]Склад!$B$14:$B$279, A40,
      [1]Склад!$E$14:$E$279, "Итог на конец недели"
    ),
    ""
  ),
  ""
)</f>
        <v>14066</v>
      </c>
      <c r="H40" xml:space="preserve">
        <f xml:space="preserve">IF(
  $H$1=[1]Склад!$K$13,
  IFERROR(
    SUMIFS(
      [1]Склад!$K$14:$K$279,
      [1]Склад!$B$14:$B$279, A40,
      [1]Склад!$E$14:$E$279, "Итог на конец недели"
    ),
    ""
  ),
  ""
)</f>
        <v>24648</v>
      </c>
      <c r="I40" xml:space="preserve">
        <f xml:space="preserve">IF(
  $I$1=[1]Склад!$L$13,
  IFERROR(
    SUMIFS(
      [1]Склад!$L$14:$L$279,
      [1]Склад!$B$14:$B$279, A40,
      [1]Склад!$E$14:$E$279, "Итог на конец недели"
    ),
    ""
  ),
  ""
)</f>
        <v>3204</v>
      </c>
      <c r="J40" xml:space="preserve">
        <f xml:space="preserve">IF(
  $J$1=[1]Склад!$O$13,
  IFERROR(
    SUMIFS(
      [1]Склад!$O$14:$O$279,
      [1]Склад!$B$14:$B$279, A40,
      [1]Склад!$E$14:$E$279, "Итог на конец недели"
    ),
    ""
  ),
  ""
)</f>
        <v>3372</v>
      </c>
    </row>
    <row r="41" xml:space="preserve">
      <c r="A41">
        <v>40</v>
      </c>
      <c r="B41">
        <v>10</v>
      </c>
      <c r="C41" xml:space="preserve">
        <f xml:space="preserve">IF(
  $C$1=[1]Склад!$F$13,
  IFERROR(
    SUMIFS(
      [1]Склад!$F$14:$F$279,
      [1]Склад!$B$14:$B$279, A41,
      [1]Склад!$E$14:$E$279, "Итог на конец недели"
    ),
    ""
  ),
  ""
)</f>
        <v>13458</v>
      </c>
      <c r="D41" xml:space="preserve">
        <f xml:space="preserve">IF(
  $D$1=[1]Склад!$G$13,
  IFERROR(
    SUMIFS(
      [1]Склад!$G$14:$G$279,
      [1]Склад!$B$14:$B$279, A41,
      [1]Склад!$E$14:$E$279, "Итог на конец недели"
    ),
    ""
  ),
  ""
)</f>
        <v>32070</v>
      </c>
      <c r="E41" xml:space="preserve">
        <f xml:space="preserve">IF(
  $E$1=[1]Склад!$H$13,
  IFERROR(
    SUMIFS(
      [1]Склад!$H$14:$H$279,
      [1]Склад!$B$14:$B$279, A41,
      [1]Склад!$E$14:$E$279, "Итог на конец недели"
    ),
    ""
  ),
  ""
)</f>
        <v>40088</v>
      </c>
      <c r="F41" xml:space="preserve">
        <f xml:space="preserve">IF(
  $F$1=[1]Склад!$I$13,
  IFERROR(
    SUMIFS(
      [1]Склад!$I$14:$I$279,
      [1]Склад!$B$14:$B$279, A41,
      [1]Склад!$E$14:$E$279, "Итог на конец недели"
    ),
    ""
  ),
  ""
)</f>
        <v>32715</v>
      </c>
      <c r="G41" xml:space="preserve">
        <f xml:space="preserve">IF(
  $G$1=[1]Склад!$J$13,
  IFERROR(
    SUMIFS(
      [1]Склад!$J$14:$J$279,
      [1]Склад!$B$14:$B$279, A41,
      [1]Склад!$E$14:$E$279, "Итог на конец недели"
    ),
    ""
  ),
  ""
)</f>
        <v>13826</v>
      </c>
      <c r="H41" xml:space="preserve">
        <f xml:space="preserve">IF(
  $H$1=[1]Склад!$K$13,
  IFERROR(
    SUMIFS(
      [1]Склад!$K$14:$K$279,
      [1]Склад!$B$14:$B$279, A41,
      [1]Склад!$E$14:$E$279, "Итог на конец недели"
    ),
    ""
  ),
  ""
)</f>
        <v>24522</v>
      </c>
      <c r="I41" xml:space="preserve">
        <f xml:space="preserve">IF(
  $I$1=[1]Склад!$L$13,
  IFERROR(
    SUMIFS(
      [1]Склад!$L$14:$L$279,
      [1]Склад!$B$14:$B$279, A41,
      [1]Склад!$E$14:$E$279, "Итог на конец недели"
    ),
    ""
  ),
  ""
)</f>
        <v>3204</v>
      </c>
      <c r="J41" xml:space="preserve">
        <f xml:space="preserve">IF(
  $J$1=[1]Склад!$O$13,
  IFERROR(
    SUMIFS(
      [1]Склад!$O$14:$O$279,
      [1]Склад!$B$14:$B$279, A41,
      [1]Склад!$E$14:$E$279, "Итог на конец недели"
    ),
    ""
  ),
  ""
)</f>
        <v>3364</v>
      </c>
    </row>
    <row r="42" xml:space="preserve">
      <c r="A42">
        <v>41</v>
      </c>
      <c r="B42">
        <v>10</v>
      </c>
      <c r="C42" xml:space="preserve">
        <f xml:space="preserve">IF(
  $C$1=[1]Склад!$F$13,
  IFERROR(
    SUMIFS(
      [1]Склад!$F$14:$F$279,
      [1]Склад!$B$14:$B$279, A42,
      [1]Склад!$E$14:$E$279, "Итог на конец недели"
    ),
    ""
  ),
  ""
)</f>
        <v>13217</v>
      </c>
      <c r="D42" xml:space="preserve">
        <f xml:space="preserve">IF(
  $D$1=[1]Склад!$G$13,
  IFERROR(
    SUMIFS(
      [1]Склад!$G$14:$G$279,
      [1]Склад!$B$14:$B$279, A42,
      [1]Склад!$E$14:$E$279, "Итог на конец недели"
    ),
    ""
  ),
  ""
)</f>
        <v>29824</v>
      </c>
      <c r="E42" xml:space="preserve">
        <f xml:space="preserve">IF(
  $E$1=[1]Склад!$H$13,
  IFERROR(
    SUMIFS(
      [1]Склад!$H$14:$H$279,
      [1]Склад!$B$14:$B$279, A42,
      [1]Склад!$E$14:$E$279, "Итог на конец недели"
    ),
    ""
  ),
  ""
)</f>
        <v>38601</v>
      </c>
      <c r="F42" xml:space="preserve">
        <f xml:space="preserve">IF(
  $F$1=[1]Склад!$I$13,
  IFERROR(
    SUMIFS(
      [1]Склад!$I$14:$I$279,
      [1]Склад!$B$14:$B$279, A42,
      [1]Склад!$E$14:$E$279, "Итог на конец недели"
    ),
    ""
  ),
  ""
)</f>
        <v>29950</v>
      </c>
      <c r="G42" xml:space="preserve">
        <f xml:space="preserve">IF(
  $G$1=[1]Склад!$J$13,
  IFERROR(
    SUMIFS(
      [1]Склад!$J$14:$J$279,
      [1]Склад!$B$14:$B$279, A42,
      [1]Склад!$E$14:$E$279, "Итог на конец недели"
    ),
    ""
  ),
  ""
)</f>
        <v>13726</v>
      </c>
      <c r="H42" xml:space="preserve">
        <f xml:space="preserve">IF(
  $H$1=[1]Склад!$K$13,
  IFERROR(
    SUMIFS(
      [1]Склад!$K$14:$K$279,
      [1]Склад!$B$14:$B$279, A42,
      [1]Склад!$E$14:$E$279, "Итог на конец недели"
    ),
    ""
  ),
  ""
)</f>
        <v>23304</v>
      </c>
      <c r="I42" xml:space="preserve">
        <f xml:space="preserve">IF(
  $I$1=[1]Склад!$L$13,
  IFERROR(
    SUMIFS(
      [1]Склад!$L$14:$L$279,
      [1]Склад!$B$14:$B$279, A42,
      [1]Склад!$E$14:$E$279, "Итог на конец недели"
    ),
    ""
  ),
  ""
)</f>
        <v>3204</v>
      </c>
      <c r="J42" xml:space="preserve">
        <f xml:space="preserve">IF(
  $J$1=[1]Склад!$O$13,
  IFERROR(
    SUMIFS(
      [1]Склад!$O$14:$O$279,
      [1]Склад!$B$14:$B$279, A42,
      [1]Склад!$E$14:$E$279, "Итог на конец недели"
    ),
    ""
  ),
  ""
)</f>
        <v>3355</v>
      </c>
    </row>
    <row r="43" xml:space="preserve">
      <c r="A43">
        <v>42</v>
      </c>
      <c r="B43">
        <v>10</v>
      </c>
      <c r="C43" xml:space="preserve">
        <f xml:space="preserve">IF(
  $C$1=[1]Склад!$F$13,
  IFERROR(
    SUMIFS(
      [1]Склад!$F$14:$F$279,
      [1]Склад!$B$14:$B$279, A43,
      [1]Склад!$E$14:$E$279, "Итог на конец недели"
    ),
    ""
  ),
  ""
)</f>
        <v>13070</v>
      </c>
      <c r="D43" xml:space="preserve">
        <f xml:space="preserve">IF(
  $D$1=[1]Склад!$G$13,
  IFERROR(
    SUMIFS(
      [1]Склад!$G$14:$G$279,
      [1]Склад!$B$14:$B$279, A43,
      [1]Склад!$E$14:$E$279, "Итог на конец недели"
    ),
    ""
  ),
  ""
)</f>
        <v>30139</v>
      </c>
      <c r="E43" xml:space="preserve">
        <f xml:space="preserve">IF(
  $E$1=[1]Склад!$H$13,
  IFERROR(
    SUMIFS(
      [1]Склад!$H$14:$H$279,
      [1]Склад!$B$14:$B$279, A43,
      [1]Склад!$E$14:$E$279, "Итог на конец недели"
    ),
    ""
  ),
  ""
)</f>
        <v>38041</v>
      </c>
      <c r="F43" xml:space="preserve">
        <f xml:space="preserve">IF(
  $F$1=[1]Склад!$I$13,
  IFERROR(
    SUMIFS(
      [1]Склад!$I$14:$I$279,
      [1]Склад!$B$14:$B$279, A43,
      [1]Склад!$E$14:$E$279, "Итог на конец недели"
    ),
    ""
  ),
  ""
)</f>
        <v>43390</v>
      </c>
      <c r="G43" xml:space="preserve">
        <f xml:space="preserve">IF(
  $G$1=[1]Склад!$J$13,
  IFERROR(
    SUMIFS(
      [1]Склад!$J$14:$J$279,
      [1]Склад!$B$14:$B$279, A43,
      [1]Склад!$E$14:$E$279, "Итог на конец недели"
    ),
    ""
  ),
  ""
)</f>
        <v>13659</v>
      </c>
      <c r="H43" xml:space="preserve">
        <f xml:space="preserve">IF(
  $H$1=[1]Склад!$K$13,
  IFERROR(
    SUMIFS(
      [1]Склад!$K$14:$K$279,
      [1]Склад!$B$14:$B$279, A43,
      [1]Склад!$E$14:$E$279, "Итог на конец недели"
    ),
    ""
  ),
  ""
)</f>
        <v>22317</v>
      </c>
      <c r="I43" xml:space="preserve">
        <f xml:space="preserve">IF(
  $I$1=[1]Склад!$L$13,
  IFERROR(
    SUMIFS(
      [1]Склад!$L$14:$L$279,
      [1]Склад!$B$14:$B$279, A43,
      [1]Склад!$E$14:$E$279, "Итог на конец недели"
    ),
    ""
  ),
  ""
)</f>
        <v>3204</v>
      </c>
      <c r="J43" xml:space="preserve">
        <f xml:space="preserve">IF(
  $J$1=[1]Склад!$O$13,
  IFERROR(
    SUMIFS(
      [1]Склад!$O$14:$O$279,
      [1]Склад!$B$14:$B$279, A43,
      [1]Склад!$E$14:$E$279, "Итог на конец недели"
    ),
    ""
  ),
  ""
)</f>
        <v>3340</v>
      </c>
    </row>
    <row r="44">
      <c r="A44">
        <v>43</v>
      </c>
      <c r="B44">
        <v>10</v>
      </c>
      <c r="C44" t="str">
        <v>-</v>
      </c>
      <c r="D44" t="str">
        <v>-</v>
      </c>
      <c r="E44" t="str">
        <v>-</v>
      </c>
      <c r="F44" t="str">
        <v>-</v>
      </c>
      <c r="G44" t="str">
        <v>-</v>
      </c>
      <c r="H44" t="str">
        <v>-</v>
      </c>
      <c r="I44" t="str">
        <v>-</v>
      </c>
      <c r="J44" t="str">
        <v>-</v>
      </c>
    </row>
    <row r="45">
      <c r="A45">
        <v>44</v>
      </c>
      <c r="B45">
        <v>10</v>
      </c>
      <c r="C45" t="str">
        <v>-</v>
      </c>
      <c r="D45" t="str">
        <v>-</v>
      </c>
      <c r="E45" t="str">
        <v>-</v>
      </c>
      <c r="F45" t="str">
        <v>-</v>
      </c>
      <c r="G45" t="str">
        <v>-</v>
      </c>
      <c r="H45" t="str">
        <v>-</v>
      </c>
      <c r="I45" t="str">
        <v>-</v>
      </c>
      <c r="J45" t="str">
        <v>-</v>
      </c>
    </row>
    <row r="46">
      <c r="A46">
        <v>45</v>
      </c>
      <c r="B46">
        <v>11</v>
      </c>
      <c r="C46" t="str">
        <v>-</v>
      </c>
      <c r="D46" t="str">
        <v>-</v>
      </c>
      <c r="E46" t="str">
        <v>-</v>
      </c>
      <c r="F46" t="str">
        <v>-</v>
      </c>
      <c r="G46" t="str">
        <v>-</v>
      </c>
      <c r="H46" t="str">
        <v>-</v>
      </c>
      <c r="I46" t="str">
        <v>-</v>
      </c>
      <c r="J46" t="str">
        <v>-</v>
      </c>
    </row>
    <row r="47">
      <c r="A47">
        <v>46</v>
      </c>
      <c r="B47">
        <v>11</v>
      </c>
      <c r="C47" t="str">
        <v>-</v>
      </c>
      <c r="D47" t="str">
        <v>-</v>
      </c>
      <c r="E47" t="str">
        <v>-</v>
      </c>
      <c r="F47" t="str">
        <v>-</v>
      </c>
      <c r="G47" t="str">
        <v>-</v>
      </c>
      <c r="H47" t="str">
        <v>-</v>
      </c>
      <c r="I47" t="str">
        <v>-</v>
      </c>
      <c r="J47" t="str">
        <v>-</v>
      </c>
    </row>
    <row r="48">
      <c r="A48">
        <v>47</v>
      </c>
      <c r="B48">
        <v>11</v>
      </c>
      <c r="C48" t="str">
        <v>-</v>
      </c>
      <c r="D48" t="str">
        <v>-</v>
      </c>
      <c r="E48" t="str">
        <v>-</v>
      </c>
      <c r="F48" t="str">
        <v>-</v>
      </c>
      <c r="G48" t="str">
        <v>-</v>
      </c>
      <c r="H48" t="str">
        <v>-</v>
      </c>
      <c r="I48" t="str">
        <v>-</v>
      </c>
      <c r="J48" t="str">
        <v>-</v>
      </c>
    </row>
    <row r="49">
      <c r="A49">
        <v>48</v>
      </c>
      <c r="B49">
        <v>11</v>
      </c>
      <c r="C49" t="str">
        <v>-</v>
      </c>
      <c r="D49" t="str">
        <v>-</v>
      </c>
      <c r="E49" t="str">
        <v>-</v>
      </c>
      <c r="F49" t="str">
        <v>-</v>
      </c>
      <c r="G49" t="str">
        <v>-</v>
      </c>
      <c r="H49" t="str">
        <v>-</v>
      </c>
      <c r="I49" t="str">
        <v>-</v>
      </c>
      <c r="J49" t="str">
        <v>-</v>
      </c>
    </row>
    <row r="50">
      <c r="A50">
        <v>49</v>
      </c>
      <c r="B50">
        <v>12</v>
      </c>
      <c r="C50" t="str">
        <v>-</v>
      </c>
      <c r="D50" t="str">
        <v>-</v>
      </c>
      <c r="E50" t="str">
        <v>-</v>
      </c>
      <c r="F50" t="str">
        <v>-</v>
      </c>
      <c r="G50" t="str">
        <v>-</v>
      </c>
      <c r="H50" t="str">
        <v>-</v>
      </c>
      <c r="I50" t="str">
        <v>-</v>
      </c>
      <c r="J50" t="str">
        <v>-</v>
      </c>
    </row>
    <row r="51">
      <c r="A51">
        <v>50</v>
      </c>
      <c r="B51">
        <v>12</v>
      </c>
      <c r="C51" t="str">
        <v>-</v>
      </c>
      <c r="D51" t="str">
        <v>-</v>
      </c>
      <c r="E51" t="str">
        <v>-</v>
      </c>
      <c r="F51" t="str">
        <v>-</v>
      </c>
      <c r="G51" t="str">
        <v>-</v>
      </c>
      <c r="H51" t="str">
        <v>-</v>
      </c>
      <c r="I51" t="str">
        <v>-</v>
      </c>
      <c r="J51" t="str">
        <v>-</v>
      </c>
    </row>
    <row r="52">
      <c r="A52">
        <v>51</v>
      </c>
      <c r="B52">
        <v>12</v>
      </c>
      <c r="C52" t="str">
        <v>-</v>
      </c>
      <c r="D52" t="str">
        <v>-</v>
      </c>
      <c r="E52" t="str">
        <v>-</v>
      </c>
      <c r="F52" t="str">
        <v>-</v>
      </c>
      <c r="G52" t="str">
        <v>-</v>
      </c>
      <c r="H52" t="str">
        <v>-</v>
      </c>
      <c r="I52" t="str">
        <v>-</v>
      </c>
      <c r="J52" t="str">
        <v>-</v>
      </c>
    </row>
    <row r="53">
      <c r="A53">
        <v>52</v>
      </c>
      <c r="B53">
        <v>12</v>
      </c>
      <c r="C53" t="str">
        <v>-</v>
      </c>
      <c r="D53" t="str">
        <v>-</v>
      </c>
      <c r="E53" t="str">
        <v>-</v>
      </c>
      <c r="F53" t="str">
        <v>-</v>
      </c>
      <c r="G53" t="str">
        <v>-</v>
      </c>
      <c r="H53" t="str">
        <v>-</v>
      </c>
      <c r="I53" t="str">
        <v>-</v>
      </c>
      <c r="J53" t="str">
        <v>-</v>
      </c>
    </row>
  </sheetData>
  <pageMargins left="0.7" right="0.7" top="0.75" bottom="0.75" header="0.3" footer="0.3"/>
  <ignoredErrors>
    <ignoredError numberStoredAsText="1" sqref="A1:J5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C9"/>
  <sheetViews>
    <sheetView workbookViewId="0" rightToLeft="0"/>
  </sheetViews>
  <sheetData>
    <row r="1">
      <c r="A1" t="str">
        <v>Материал</v>
      </c>
      <c r="B1" t="str">
        <v>Минимальный запас</v>
      </c>
      <c r="C1" t="str">
        <v>Минимальная партия закупки</v>
      </c>
    </row>
    <row r="2">
      <c r="A2" t="str">
        <v>MEDIUM 800х600х300</v>
      </c>
      <c r="B2">
        <v>54000</v>
      </c>
      <c r="C2">
        <v>24000</v>
      </c>
    </row>
    <row r="3" xml:space="preserve">
      <c r="A3" t="str" xml:space="preserve">
        <v xml:space="preserve">MEDIUM 600х400х400_x000d_
R-mixed</v>
      </c>
      <c r="B3">
        <v>43200</v>
      </c>
      <c r="C3">
        <v>10000</v>
      </c>
    </row>
    <row r="4" xml:space="preserve">
      <c r="A4" t="str" xml:space="preserve">
        <v xml:space="preserve">MEDIUM 400х300х300_x000d_
R-mixed</v>
      </c>
      <c r="B4">
        <v>38400</v>
      </c>
      <c r="C4">
        <v>28000</v>
      </c>
    </row>
    <row r="5">
      <c r="A5" t="str">
        <v>MEDIUM 400х300х150</v>
      </c>
      <c r="B5">
        <v>16000</v>
      </c>
      <c r="C5">
        <v>0</v>
      </c>
    </row>
    <row r="6">
      <c r="A6" t="str">
        <v>MEDIUM 300*210*100               R-mixed</v>
      </c>
      <c r="B6">
        <v>5000</v>
      </c>
      <c r="C6">
        <v>5040</v>
      </c>
    </row>
    <row r="7">
      <c r="A7" t="str">
        <v>Скотч R-mixed</v>
      </c>
      <c r="B7">
        <v>5000</v>
      </c>
      <c r="C7">
        <v>19200</v>
      </c>
    </row>
    <row r="8">
      <c r="A8" t="str">
        <v>Скотч цветной</v>
      </c>
      <c r="B8">
        <v>5000</v>
      </c>
      <c r="C8">
        <v>1500</v>
      </c>
    </row>
    <row r="9">
      <c r="A9" t="str">
        <v xml:space="preserve">Стрейч прозрачный </v>
      </c>
      <c r="B9">
        <v>5000</v>
      </c>
      <c r="C9">
        <v>0</v>
      </c>
    </row>
  </sheetData>
  <pageMargins left="0.7" right="0.7" top="0.75" bottom="0.75" header="0.3" footer="0.3"/>
  <ignoredErrors>
    <ignoredError numberStoredAsText="1" sqref="A1:C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C5"/>
  <sheetViews>
    <sheetView workbookViewId="0" rightToLeft="0"/>
  </sheetViews>
  <sheetData>
    <row r="1">
      <c r="A1" t="str">
        <v>CW</v>
      </c>
      <c r="B1" t="str">
        <v>Month</v>
      </c>
      <c r="C1" t="str">
        <v>Кол-во</v>
      </c>
    </row>
    <row r="2">
      <c r="A2">
        <v>41</v>
      </c>
      <c r="B2">
        <v>10</v>
      </c>
      <c r="C2">
        <v>247284</v>
      </c>
    </row>
    <row r="3">
      <c r="A3">
        <v>42</v>
      </c>
      <c r="B3">
        <v>10</v>
      </c>
      <c r="C3">
        <v>157859</v>
      </c>
    </row>
    <row r="4">
      <c r="A4">
        <v>43</v>
      </c>
      <c r="B4">
        <v>10</v>
      </c>
      <c r="C4">
        <v>189836</v>
      </c>
    </row>
    <row r="5">
      <c r="A5">
        <v>44</v>
      </c>
      <c r="B5">
        <v>10</v>
      </c>
      <c r="C5">
        <v>171890</v>
      </c>
    </row>
  </sheetData>
  <ignoredErrors>
    <ignoredError numberStoredAsText="1" sqref="A1:C5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H2"/>
  <sheetViews>
    <sheetView workbookViewId="0" rightToLeft="0"/>
  </sheetViews>
  <sheetData>
    <row r="1">
      <c r="A1" t="str">
        <v>MEDIUM 800х600х300</v>
      </c>
      <c r="B1" t="str">
        <v>MEDIUM 600х400х400 R-mixed</v>
      </c>
      <c r="C1" t="str">
        <v>MEDIUM 400х300х300 R-mixed</v>
      </c>
      <c r="D1" t="str">
        <v>MEDIUM 400х300х150</v>
      </c>
      <c r="E1" t="str">
        <v>MEDIUM 300*210*100 R-mixed</v>
      </c>
      <c r="F1" t="str">
        <v>Скотч R-mixed</v>
      </c>
      <c r="G1" t="str">
        <v>Скотч цветной</v>
      </c>
      <c r="H1" t="str">
        <v>Стрейч прозрачный</v>
      </c>
    </row>
    <row r="2">
      <c r="A2">
        <v>10000</v>
      </c>
      <c r="B2">
        <v>23330</v>
      </c>
      <c r="C2">
        <v>10000</v>
      </c>
      <c r="D2">
        <v>15000</v>
      </c>
      <c r="E2">
        <v>10000</v>
      </c>
      <c r="F2">
        <v>10000</v>
      </c>
      <c r="G2">
        <v>1000</v>
      </c>
      <c r="H2">
        <v>10000</v>
      </c>
    </row>
  </sheetData>
  <ignoredErrors>
    <ignoredError numberStoredAsText="1" sqref="A1:H2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K2"/>
  <sheetViews>
    <sheetView workbookViewId="0" rightToLeft="0"/>
  </sheetViews>
  <sheetData>
    <row r="1">
      <c r="A1" t="str">
        <v>CW</v>
      </c>
      <c r="B1" t="str">
        <v>Month</v>
      </c>
      <c r="C1" t="str">
        <v>Week 01</v>
      </c>
      <c r="D1" t="str">
        <v>Week 02</v>
      </c>
      <c r="E1" t="str">
        <v>Week 03</v>
      </c>
      <c r="F1" t="str">
        <v>Week 04</v>
      </c>
      <c r="G1" t="str">
        <v>Week 05</v>
      </c>
      <c r="H1" t="str">
        <v>Week 06</v>
      </c>
      <c r="I1" t="str">
        <v>Week 07</v>
      </c>
      <c r="J1" t="str">
        <v>Week 08</v>
      </c>
      <c r="K1" t="str">
        <v>Week 09</v>
      </c>
    </row>
    <row r="2">
      <c r="A2">
        <v>1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</sheetData>
  <ignoredErrors>
    <ignoredError numberStoredAsText="1" sqref="A1:K2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U34"/>
  <sheetViews>
    <sheetView workbookViewId="0" rightToLeft="0"/>
  </sheetViews>
  <sheetData>
    <row r="1" xml:space="preserve">
      <c r="A1" t="str" xml:space="preserve">
        <v xml:space="preserve">Простое среднее (SMA)_x000d_
Берём последние 8 недель, складываем расход и делим на 8._x000d_
«Мы тратили в среднем по 1000 коробок в неделю — значит, и дальше будем тратить примерно столько же»._x000d_
Экспоненциальное среднее (EMA)_x000d_
То же среднее, но последние недели считаются важнее и «перевешивают» старые._x000d_
Если расход начал расти — прогноз быстро это заметит._x000d_
Взвешенное среднее (WMA)_x000d_
Похоже на EMA, но веса растут плавно: самая свежая неделя — самая важная._x000d_
Тренд (линейная регрессия)_x000d_
Программа рисует прямую линию по последним неделям и продолжает её дальше._x000d_
Хорошо работает, если расход стабильно растёт или падает каждый месяц._x000d_
Гибридный — самый умный (по умолчанию стоит он)_x000d_
Программа берёт сразу все 4 способа выше, смешивает их в один «прогноз» (EMA считает самым важным),_x000d_
потом ещё прибавляет 20% про запас </v>
      </c>
    </row>
  </sheetData>
  <mergeCells count="1">
    <mergeCell ref="A1:U34"/>
  </mergeCells>
  <pageMargins left="0.7" right="0.7" top="0.75" bottom="0.75" header="0.3" footer="0.3"/>
  <ignoredErrors>
    <ignoredError numberStoredAsText="1" sqref="A1:U3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Расход</vt:lpstr>
      <vt:lpstr>Запасы</vt:lpstr>
      <vt:lpstr>Min</vt:lpstr>
      <vt:lpstr>Прогноз_продаж</vt:lpstr>
      <vt:lpstr>Прогноз_закупок</vt:lpstr>
      <vt:lpstr>Методы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terms:modified xsi:type="dcterms:W3CDTF">2025-11-24T10:44:00Z</dcterms:modified>
  <cp:lastModifiedBy>Daniil Mitreykin</cp:lastModifiedBy>
  <dc:creator>Mitreykin, Daniil / Noytech / Dtv DATA</dc:creator>
</cp:coreProperties>
</file>